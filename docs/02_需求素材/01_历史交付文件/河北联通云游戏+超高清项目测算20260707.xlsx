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/>
  </bookViews>
  <sheets>
    <sheet name="总表" sheetId="2" r:id="rId1"/>
    <sheet name="云游戏分月测算明细" sheetId="1" r:id="rId2"/>
    <sheet name="云游戏CP分成明细" sheetId="3" r:id="rId3"/>
    <sheet name="使用权资产（服务器）" sheetId="6" r:id="rId4"/>
    <sheet name="租赁成本" sheetId="4" r:id="rId5"/>
    <sheet name="采购成本（参考）" sheetId="5" r:id="rId6"/>
  </sheets>
  <externalReferences>
    <externalReference r:id="rId7"/>
    <externalReference r:id="rId8"/>
  </externalReferences>
  <definedNames>
    <definedName name="出租人">[1]基础数据!$C$4:$C$5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<sst xmlns="http://schemas.openxmlformats.org/spreadsheetml/2006/main" count="352" uniqueCount="159">
  <si>
    <r>
      <t>根据业务提供的测算假设如下：</t>
    </r>
    <r>
      <rPr>
        <sz val="10"/>
        <color theme="1"/>
        <rFont val="微软雅黑"/>
        <charset val="134"/>
      </rPr>
      <t xml:space="preserve">
1、项目周期：2026年8月1日-2027年12月31日
2、收入结算：包盘保底收入300万元/年，其中云游戏收入240万/年，超高清收入60万/年。从项目上线之日起按月折算，云游戏20万/月，超高清5万/月，账期3个月；
3、云游戏服务器（50路并发）租赁46.86万/年，3.905万/月，月度后付；
4、云游戏技术服务费7.2万/年，0.6万/月，月度后付；
5、4台IDC机柜租赁费24万/年，2万/月，半年预付；
6、100M专线费3.6万/年，0.3万/月，半年预付；
7、游戏CP分成分按5000保底订购用户和包盘收入2种情况测算，季度后付；
8、测算不包含MG买断游戏版权成本及超高清集采版权成本；
9、以上数据均含税。
</t>
    </r>
  </si>
  <si>
    <r>
      <rPr>
        <b/>
        <sz val="10"/>
        <color theme="1"/>
        <rFont val="微软雅黑"/>
        <charset val="134"/>
      </rPr>
      <t>主要结论及提示：
1、项目整体盈利：</t>
    </r>
    <r>
      <rPr>
        <sz val="10"/>
        <color theme="1"/>
        <rFont val="微软雅黑"/>
        <charset val="134"/>
      </rPr>
      <t xml:space="preserve">两种场景测算均实现盈利，项目具备财务可行性；
</t>
    </r>
    <r>
      <rPr>
        <b/>
        <sz val="10"/>
        <color theme="1"/>
        <rFont val="微软雅黑"/>
        <charset val="134"/>
      </rPr>
      <t>2、现金流：</t>
    </r>
    <r>
      <rPr>
        <sz val="10"/>
        <color theme="1"/>
        <rFont val="微软雅黑"/>
        <charset val="134"/>
      </rPr>
      <t>2026年存在垫资情况，建议商务谈判时尽量延后付款节奏；</t>
    </r>
    <r>
      <rPr>
        <b/>
        <sz val="10"/>
        <color theme="1"/>
        <rFont val="微软雅黑"/>
        <charset val="134"/>
      </rPr>
      <t xml:space="preserve">
3、模式优化可提升利润：</t>
    </r>
    <r>
      <rPr>
        <sz val="10"/>
        <color theme="1"/>
        <rFont val="微软雅黑"/>
        <charset val="134"/>
      </rPr>
      <t xml:space="preserve">若能与运营商协商获取鉴权订购数据，采用按实际用户数进行游戏CP分成的模式，利润空间更大，建议作为首选谈判目标；
</t>
    </r>
    <r>
      <rPr>
        <b/>
        <sz val="10"/>
        <color theme="1"/>
        <rFont val="微软雅黑"/>
        <charset val="134"/>
      </rPr>
      <t>4、上线时点：</t>
    </r>
    <r>
      <rPr>
        <sz val="10"/>
        <color theme="1"/>
        <rFont val="微软雅黑"/>
        <charset val="134"/>
      </rPr>
      <t>根据会议沟通，项目结束期为固定时点2027年12月，建议尽早上线以争取更多利润。</t>
    </r>
    <r>
      <rPr>
        <b/>
        <sz val="10"/>
        <color theme="1"/>
        <rFont val="微软雅黑"/>
        <charset val="134"/>
      </rPr>
      <t xml:space="preserve">
</t>
    </r>
  </si>
  <si>
    <r>
      <rPr>
        <b/>
        <sz val="11"/>
        <color theme="1"/>
        <rFont val="微软雅黑"/>
        <charset val="134"/>
      </rPr>
      <t>利润情况（</t>
    </r>
    <r>
      <rPr>
        <b/>
        <sz val="11"/>
        <color rgb="FFFF0000"/>
        <rFont val="微软雅黑"/>
        <charset val="134"/>
      </rPr>
      <t>游戏CP分成按包盘收入测算</t>
    </r>
    <r>
      <rPr>
        <b/>
        <sz val="11"/>
        <color theme="1"/>
        <rFont val="微软雅黑"/>
        <charset val="134"/>
      </rPr>
      <t>）</t>
    </r>
  </si>
  <si>
    <t>单位：万元</t>
  </si>
  <si>
    <r>
      <rPr>
        <b/>
        <sz val="11"/>
        <color theme="1"/>
        <rFont val="微软雅黑"/>
        <charset val="134"/>
      </rPr>
      <t>利润情况（</t>
    </r>
    <r>
      <rPr>
        <b/>
        <sz val="11"/>
        <color rgb="FFFF0000"/>
        <rFont val="微软雅黑"/>
        <charset val="134"/>
      </rPr>
      <t>游戏CP分成按5000用户保底订购量测算</t>
    </r>
    <r>
      <rPr>
        <b/>
        <sz val="11"/>
        <color theme="1"/>
        <rFont val="微软雅黑"/>
        <charset val="134"/>
      </rPr>
      <t>）</t>
    </r>
  </si>
  <si>
    <t>明细项目（不含税）</t>
  </si>
  <si>
    <t>2026年（8月起）</t>
  </si>
  <si>
    <t>2027年</t>
  </si>
  <si>
    <t>合计</t>
  </si>
  <si>
    <t>本年小计</t>
  </si>
  <si>
    <t>云游戏</t>
  </si>
  <si>
    <t>超高清</t>
  </si>
  <si>
    <t>收入</t>
  </si>
  <si>
    <t>包盘保底收入</t>
  </si>
  <si>
    <t>成本</t>
  </si>
  <si>
    <t>服务器租赁（利息费用+折旧）</t>
  </si>
  <si>
    <t>云游戏技术服务费</t>
  </si>
  <si>
    <t>IDC机柜租赁费</t>
  </si>
  <si>
    <t>100M专线费</t>
  </si>
  <si>
    <t>游戏CP分成</t>
  </si>
  <si>
    <t>毛利</t>
  </si>
  <si>
    <t>毛利率</t>
  </si>
  <si>
    <r>
      <rPr>
        <b/>
        <sz val="11"/>
        <color theme="1"/>
        <rFont val="微软雅黑"/>
        <charset val="134"/>
      </rPr>
      <t>现金流情况（</t>
    </r>
    <r>
      <rPr>
        <b/>
        <sz val="11"/>
        <color rgb="FFFF0000"/>
        <rFont val="微软雅黑"/>
        <charset val="134"/>
      </rPr>
      <t>游戏CP分成按包盘收入测算</t>
    </r>
    <r>
      <rPr>
        <b/>
        <sz val="11"/>
        <color theme="1"/>
        <rFont val="微软雅黑"/>
        <charset val="134"/>
      </rPr>
      <t>）</t>
    </r>
  </si>
  <si>
    <r>
      <rPr>
        <b/>
        <sz val="11"/>
        <color theme="1"/>
        <rFont val="微软雅黑"/>
        <charset val="134"/>
      </rPr>
      <t>现金流情况（</t>
    </r>
    <r>
      <rPr>
        <b/>
        <sz val="11"/>
        <color rgb="FFFF0000"/>
        <rFont val="微软雅黑"/>
        <charset val="134"/>
      </rPr>
      <t>游戏CP分成按5000用户保底订购量测算</t>
    </r>
    <r>
      <rPr>
        <b/>
        <sz val="11"/>
        <color theme="1"/>
        <rFont val="微软雅黑"/>
        <charset val="134"/>
      </rPr>
      <t>）</t>
    </r>
  </si>
  <si>
    <t>明细项目（含税）</t>
  </si>
  <si>
    <t>2028年</t>
  </si>
  <si>
    <t>收款</t>
  </si>
  <si>
    <t>云游戏收入</t>
  </si>
  <si>
    <t>超高清收入</t>
  </si>
  <si>
    <t>付款</t>
  </si>
  <si>
    <t>服务器租赁</t>
  </si>
  <si>
    <t>净现金流</t>
  </si>
  <si>
    <r>
      <rPr>
        <b/>
        <sz val="10"/>
        <color theme="1"/>
        <rFont val="微软雅黑"/>
        <charset val="134"/>
      </rPr>
      <t>云游戏分月利润情况（</t>
    </r>
    <r>
      <rPr>
        <b/>
        <sz val="10"/>
        <color rgb="FFFF0000"/>
        <rFont val="微软雅黑"/>
        <charset val="134"/>
      </rPr>
      <t>游戏CP分成按包盘收入测算</t>
    </r>
    <r>
      <rPr>
        <b/>
        <sz val="10"/>
        <color theme="1"/>
        <rFont val="微软雅黑"/>
        <charset val="134"/>
      </rPr>
      <t>）</t>
    </r>
  </si>
  <si>
    <r>
      <rPr>
        <b/>
        <sz val="10"/>
        <color theme="1"/>
        <rFont val="微软雅黑"/>
        <charset val="134"/>
      </rPr>
      <t>云游戏分月利润情况（</t>
    </r>
    <r>
      <rPr>
        <b/>
        <sz val="10"/>
        <color rgb="FFFF0000"/>
        <rFont val="微软雅黑"/>
        <charset val="134"/>
      </rPr>
      <t>游戏CP分成按5000用户保底订购量测算</t>
    </r>
    <r>
      <rPr>
        <b/>
        <sz val="10"/>
        <color theme="1"/>
        <rFont val="微软雅黑"/>
        <charset val="134"/>
      </rPr>
      <t>）</t>
    </r>
  </si>
  <si>
    <r>
      <rPr>
        <b/>
        <sz val="10"/>
        <color theme="1"/>
        <rFont val="微软雅黑"/>
        <charset val="134"/>
      </rPr>
      <t>云游戏+超高清分月现金流（</t>
    </r>
    <r>
      <rPr>
        <b/>
        <sz val="10"/>
        <color rgb="FFFF0000"/>
        <rFont val="微软雅黑"/>
        <charset val="134"/>
      </rPr>
      <t>游戏CP分成按包盘收入测算</t>
    </r>
    <r>
      <rPr>
        <b/>
        <sz val="10"/>
        <color theme="1"/>
        <rFont val="微软雅黑"/>
        <charset val="134"/>
      </rPr>
      <t>）</t>
    </r>
  </si>
  <si>
    <r>
      <rPr>
        <b/>
        <sz val="10"/>
        <color theme="1"/>
        <rFont val="微软雅黑"/>
        <charset val="134"/>
      </rPr>
      <t>云游戏+超高清分月现金流（</t>
    </r>
    <r>
      <rPr>
        <b/>
        <sz val="10"/>
        <color rgb="FFFF0000"/>
        <rFont val="微软雅黑"/>
        <charset val="134"/>
      </rPr>
      <t>游戏CP分成按5000用户保底订购量测算</t>
    </r>
    <r>
      <rPr>
        <b/>
        <sz val="10"/>
        <color theme="1"/>
        <rFont val="微软雅黑"/>
        <charset val="134"/>
      </rPr>
      <t>）</t>
    </r>
  </si>
  <si>
    <t>云游戏CP分账成本</t>
  </si>
  <si>
    <t>序号</t>
  </si>
  <si>
    <t>类目名称</t>
  </si>
  <si>
    <t>2026年8月</t>
  </si>
  <si>
    <t>9月</t>
  </si>
  <si>
    <t>10月</t>
  </si>
  <si>
    <t>11月</t>
  </si>
  <si>
    <t>12月</t>
  </si>
  <si>
    <t>2027年1月</t>
  </si>
  <si>
    <t>2月</t>
  </si>
  <si>
    <t>3月</t>
  </si>
  <si>
    <t>4月</t>
  </si>
  <si>
    <t>5月</t>
  </si>
  <si>
    <t>6月</t>
  </si>
  <si>
    <t>7月</t>
  </si>
  <si>
    <t>8月</t>
  </si>
  <si>
    <t>收入（万元）</t>
  </si>
  <si>
    <t>固定成本（万元）</t>
  </si>
  <si>
    <t>结算基数（万元）</t>
  </si>
  <si>
    <t>CP分账比例</t>
  </si>
  <si>
    <t>CP分成时长占比</t>
  </si>
  <si>
    <t>CP分账成本（万元）</t>
  </si>
  <si>
    <t>百视通利润（万元）</t>
  </si>
  <si>
    <t>※结算按无用户订购数据情况测算</t>
  </si>
  <si>
    <t>说明：</t>
  </si>
  <si>
    <t>上线日期预期再2026年8月</t>
  </si>
  <si>
    <t>结算基数=总额-高清分账-硬件租金-机柜租金-带宽租金-其他费用</t>
  </si>
  <si>
    <t>分账成本=结算基数*CP分账比例*参与分账CP时长比例占比（预估按照参与分账游戏数量比例测算）</t>
  </si>
  <si>
    <t>参与分账游戏数量比例</t>
  </si>
  <si>
    <t>至2026年10月，计划上线总数51款，参与分账游戏33款。分成占比66%</t>
  </si>
  <si>
    <t>订购用户数</t>
  </si>
  <si>
    <t>包月单价（元）</t>
  </si>
  <si>
    <t>订购收入（万元）</t>
  </si>
  <si>
    <t>※结算按5000用户保底订购数据情况测算</t>
  </si>
  <si>
    <t>用户订购按包月29元为单价测算</t>
  </si>
  <si>
    <t>日期</t>
  </si>
  <si>
    <t>租赁负债</t>
  </si>
  <si>
    <t>使用权资产折旧</t>
  </si>
  <si>
    <t>利息费用+折旧（万元）</t>
  </si>
  <si>
    <t>本期资产负债表日</t>
  </si>
  <si>
    <t>下期资产负债表日</t>
  </si>
  <si>
    <t>期初余额(1)</t>
  </si>
  <si>
    <t>期初余额(2)</t>
  </si>
  <si>
    <t>期初余额(3)</t>
  </si>
  <si>
    <t>期初余额(4)</t>
  </si>
  <si>
    <t>期初余额(5)</t>
  </si>
  <si>
    <t>期初余额</t>
  </si>
  <si>
    <t>租赁付款额(1)</t>
  </si>
  <si>
    <t>利息费用(1)</t>
  </si>
  <si>
    <t>租赁付款额(2)</t>
  </si>
  <si>
    <t>利息费用(2)</t>
  </si>
  <si>
    <t>租赁付款额(3)</t>
  </si>
  <si>
    <t>利息费用(3)</t>
  </si>
  <si>
    <t>租赁付款额(4)</t>
  </si>
  <si>
    <t>利息费用(4)</t>
  </si>
  <si>
    <t>租赁付款额(5)</t>
  </si>
  <si>
    <t>利息费用(5)</t>
  </si>
  <si>
    <t>租赁付款额</t>
  </si>
  <si>
    <t>利息费用</t>
  </si>
  <si>
    <t>期末余额(1)</t>
  </si>
  <si>
    <t>期末余额(2)</t>
  </si>
  <si>
    <t>期末余额(3)</t>
  </si>
  <si>
    <t>期末余额(4)</t>
  </si>
  <si>
    <t>期末余额(5)</t>
  </si>
  <si>
    <t>期末余额</t>
  </si>
  <si>
    <t>云游戏配置方案（50路并发）租赁成本</t>
  </si>
  <si>
    <t>设备名称</t>
  </si>
  <si>
    <t>规格</t>
  </si>
  <si>
    <t>数量
（台/套）</t>
  </si>
  <si>
    <t>单价
（万元/年）</t>
  </si>
  <si>
    <t>金额
（万元/年）</t>
  </si>
  <si>
    <t>一</t>
  </si>
  <si>
    <t>硬件设备</t>
  </si>
  <si>
    <t>PCFarm算力服务器（4U3卡）</t>
  </si>
  <si>
    <t>CPUI7/内存 32GB*2/显卡RTX4070/NVME 固态 1T/网卡10GbE*1/BMC带外*1</t>
  </si>
  <si>
    <t>游戏管理及存储服务器</t>
  </si>
  <si>
    <t>CPU金牌 6130 *2/内存32*2GB/系统盘  256G SATA SSD*2 raid1
/数据盘 3.84T SSD*6 raid5/网卡10GbE*2/冗余双电</t>
  </si>
  <si>
    <t>接入交换机</t>
  </si>
  <si>
    <t>48*10G光+6*40G光</t>
  </si>
  <si>
    <t>带外接入交换机</t>
  </si>
  <si>
    <t>48*1G电+4*10G光</t>
  </si>
  <si>
    <t>代理服务器</t>
  </si>
  <si>
    <t>Intel Xeon Silver 4310*1/64GB DDR4 ECC/480GB SATA SSD*2 raid1/
双端口万兆（10GE）光口</t>
  </si>
  <si>
    <t>防火墙</t>
  </si>
  <si>
    <t>＞10G吞吐量</t>
  </si>
  <si>
    <t>网络辅材</t>
  </si>
  <si>
    <t>40G光模块\10G光模块\光纤跳纤\算力跳线</t>
  </si>
  <si>
    <t>二</t>
  </si>
  <si>
    <t>设备安装</t>
  </si>
  <si>
    <t>设备安装费用</t>
  </si>
  <si>
    <t>一次性上架安装费用</t>
  </si>
  <si>
    <t>三</t>
  </si>
  <si>
    <t>IDC 机架租赁费用</t>
  </si>
  <si>
    <t>数量</t>
  </si>
  <si>
    <t>机架租赁单价（万元/年）</t>
  </si>
  <si>
    <t>机架租赁金额
（万元/年）</t>
  </si>
  <si>
    <t>机柜</t>
  </si>
  <si>
    <t>5000W 20A 标准机柜</t>
  </si>
  <si>
    <t>四</t>
  </si>
  <si>
    <t xml:space="preserve">网络及带宽费用 </t>
  </si>
  <si>
    <t xml:space="preserve">网络及带宽费用单价
（万元/年） </t>
  </si>
  <si>
    <t>网络及带宽费用
（万元）</t>
  </si>
  <si>
    <t>专网带宽</t>
  </si>
  <si>
    <t>2GB主备</t>
  </si>
  <si>
    <t>互联网宽带</t>
  </si>
  <si>
    <t>100M独享</t>
  </si>
  <si>
    <t>五</t>
  </si>
  <si>
    <t>软件购置费</t>
  </si>
  <si>
    <t>数量（套）</t>
  </si>
  <si>
    <t>单价（万元/年）</t>
  </si>
  <si>
    <t>金额（万元/年）</t>
  </si>
  <si>
    <t>云渲染软件</t>
  </si>
  <si>
    <t>游戏云化软件</t>
  </si>
  <si>
    <t>六</t>
  </si>
  <si>
    <t>管理费用</t>
  </si>
  <si>
    <t>硬件维护费用</t>
  </si>
  <si>
    <t>硬件维护、安全防护</t>
  </si>
  <si>
    <t>云游戏配置方案（50路并发）采购成本</t>
  </si>
  <si>
    <t>单价
（万元）</t>
  </si>
  <si>
    <t>金额
（万元）</t>
  </si>
  <si>
    <t>机架租赁单价
（万元/年）</t>
  </si>
  <si>
    <t>网络及带宽费用
（万元/年）</t>
  </si>
  <si>
    <t>200M独享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</si>
</sst>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);[Red]\(0\)"/>
    <numFmt numFmtId="178" formatCode="yy&quot;年&quot;m&quot;月&quot;"/>
    <numFmt numFmtId="179" formatCode="0.0_);[Red]\(0.0\)"/>
    <numFmt numFmtId="180" formatCode="0.0%"/>
    <numFmt numFmtId="181" formatCode="#,##0.00_ ;[Red]\-#,##0.00\ "/>
    <numFmt numFmtId="182" formatCode="#,##0.0_ "/>
    <numFmt numFmtId="183" formatCode="#,##0_ "/>
  </numFmts>
  <fonts count="4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  <font>
      <b/>
      <sz val="10"/>
      <color rgb="FFFF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2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24" applyNumberFormat="0" applyAlignment="0" applyProtection="0">
      <alignment vertical="center"/>
    </xf>
    <xf numFmtId="0" fontId="28" fillId="9" borderId="25" applyNumberFormat="0" applyAlignment="0" applyProtection="0">
      <alignment vertical="center"/>
    </xf>
    <xf numFmtId="0" fontId="29" fillId="9" borderId="24" applyNumberFormat="0" applyAlignment="0" applyProtection="0">
      <alignment vertical="center"/>
    </xf>
    <xf numFmtId="0" fontId="30" fillId="10" borderId="26" applyNumberFormat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4" fontId="0" fillId="0" borderId="0" xfId="0" applyNumberFormat="1" applyFont="1" applyFill="1" applyAlignment="1">
      <alignment vertical="center"/>
    </xf>
    <xf numFmtId="43" fontId="0" fillId="0" borderId="0" xfId="0" applyNumberFormat="1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43" fontId="0" fillId="0" borderId="0" xfId="1" applyFont="1" applyAlignment="1">
      <alignment vertical="center"/>
    </xf>
    <xf numFmtId="14" fontId="0" fillId="0" borderId="1" xfId="0" applyNumberFormat="1" applyFont="1" applyFill="1" applyBorder="1" applyAlignment="1">
      <alignment vertical="center"/>
    </xf>
    <xf numFmtId="43" fontId="0" fillId="0" borderId="1" xfId="1" applyFont="1" applyBorder="1" applyAlignment="1">
      <alignment vertical="center"/>
    </xf>
    <xf numFmtId="43" fontId="0" fillId="0" borderId="1" xfId="0" applyNumberFormat="1" applyFont="1" applyFill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14" fontId="0" fillId="0" borderId="0" xfId="0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9" fontId="0" fillId="0" borderId="1" xfId="0" applyNumberFormat="1" applyFont="1" applyFill="1" applyBorder="1" applyAlignment="1">
      <alignment vertical="center"/>
    </xf>
    <xf numFmtId="9" fontId="0" fillId="0" borderId="1" xfId="0" applyNumberFormat="1" applyBorder="1">
      <alignment vertical="center"/>
    </xf>
    <xf numFmtId="0" fontId="11" fillId="0" borderId="0" xfId="0" applyFont="1" applyAlignment="1">
      <alignment horizontal="left" vertical="center"/>
    </xf>
    <xf numFmtId="176" fontId="0" fillId="0" borderId="0" xfId="0" applyNumberFormat="1">
      <alignment vertical="center"/>
    </xf>
    <xf numFmtId="0" fontId="0" fillId="4" borderId="0" xfId="0" applyFill="1">
      <alignment vertical="center"/>
    </xf>
    <xf numFmtId="177" fontId="0" fillId="0" borderId="1" xfId="0" applyNumberFormat="1" applyBorder="1">
      <alignment vertical="center"/>
    </xf>
    <xf numFmtId="0" fontId="12" fillId="0" borderId="0" xfId="0" applyFont="1">
      <alignment vertical="center"/>
    </xf>
    <xf numFmtId="0" fontId="12" fillId="0" borderId="0" xfId="0" applyFont="1" applyFill="1">
      <alignment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178" fontId="13" fillId="0" borderId="5" xfId="0" applyNumberFormat="1" applyFont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177" fontId="12" fillId="5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179" fontId="12" fillId="0" borderId="1" xfId="0" applyNumberFormat="1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80" fontId="12" fillId="5" borderId="1" xfId="3" applyNumberFormat="1" applyFont="1" applyFill="1" applyBorder="1" applyAlignment="1">
      <alignment horizontal="center" vertical="center"/>
    </xf>
    <xf numFmtId="176" fontId="12" fillId="0" borderId="0" xfId="0" applyNumberFormat="1" applyFont="1">
      <alignment vertical="center"/>
    </xf>
    <xf numFmtId="176" fontId="12" fillId="0" borderId="0" xfId="0" applyNumberFormat="1" applyFont="1" applyBorder="1">
      <alignment vertical="center"/>
    </xf>
    <xf numFmtId="0" fontId="13" fillId="0" borderId="0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Border="1">
      <alignment vertical="center"/>
    </xf>
    <xf numFmtId="0" fontId="12" fillId="0" borderId="1" xfId="0" applyFont="1" applyFill="1" applyBorder="1" applyAlignment="1">
      <alignment vertical="center"/>
    </xf>
    <xf numFmtId="177" fontId="12" fillId="0" borderId="1" xfId="0" applyNumberFormat="1" applyFont="1" applyFill="1" applyBorder="1" applyAlignment="1">
      <alignment horizontal="center" vertical="center"/>
    </xf>
    <xf numFmtId="181" fontId="12" fillId="5" borderId="1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43" fontId="12" fillId="0" borderId="0" xfId="0" applyNumberFormat="1" applyFont="1" applyFill="1" applyAlignment="1">
      <alignment vertical="center"/>
    </xf>
    <xf numFmtId="0" fontId="13" fillId="0" borderId="7" xfId="0" applyFont="1" applyFill="1" applyBorder="1" applyAlignment="1">
      <alignment horizontal="left" vertical="top" wrapText="1"/>
    </xf>
    <xf numFmtId="0" fontId="13" fillId="0" borderId="8" xfId="0" applyFont="1" applyFill="1" applyBorder="1" applyAlignment="1">
      <alignment horizontal="left" vertical="top" wrapText="1"/>
    </xf>
    <xf numFmtId="0" fontId="13" fillId="0" borderId="9" xfId="0" applyFont="1" applyFill="1" applyBorder="1" applyAlignment="1">
      <alignment horizontal="left" vertical="top" wrapText="1"/>
    </xf>
    <xf numFmtId="0" fontId="13" fillId="0" borderId="10" xfId="0" applyFont="1" applyFill="1" applyBorder="1" applyAlignment="1">
      <alignment horizontal="left" vertical="top" wrapText="1"/>
    </xf>
    <xf numFmtId="0" fontId="13" fillId="0" borderId="0" xfId="0" applyFont="1" applyFill="1" applyAlignment="1">
      <alignment horizontal="left" vertical="top" wrapText="1"/>
    </xf>
    <xf numFmtId="0" fontId="13" fillId="0" borderId="11" xfId="0" applyFont="1" applyFill="1" applyBorder="1" applyAlignment="1">
      <alignment horizontal="left" vertical="top" wrapText="1"/>
    </xf>
    <xf numFmtId="0" fontId="13" fillId="0" borderId="12" xfId="0" applyFont="1" applyFill="1" applyBorder="1" applyAlignment="1">
      <alignment horizontal="left" vertical="top" wrapText="1"/>
    </xf>
    <xf numFmtId="0" fontId="13" fillId="0" borderId="13" xfId="0" applyFont="1" applyFill="1" applyBorder="1" applyAlignment="1">
      <alignment horizontal="left" vertical="top" wrapText="1"/>
    </xf>
    <xf numFmtId="0" fontId="13" fillId="0" borderId="14" xfId="0" applyFont="1" applyFill="1" applyBorder="1" applyAlignment="1">
      <alignment horizontal="left" vertical="top" wrapText="1"/>
    </xf>
    <xf numFmtId="0" fontId="12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2" fillId="0" borderId="0" xfId="0" applyFont="1" applyFill="1" applyAlignment="1">
      <alignment horizontal="right" vertical="center"/>
    </xf>
    <xf numFmtId="0" fontId="12" fillId="6" borderId="1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182" fontId="17" fillId="6" borderId="2" xfId="0" applyNumberFormat="1" applyFont="1" applyFill="1" applyBorder="1" applyAlignment="1">
      <alignment horizontal="center" vertical="center" wrapText="1"/>
    </xf>
    <xf numFmtId="182" fontId="17" fillId="6" borderId="3" xfId="0" applyNumberFormat="1" applyFont="1" applyFill="1" applyBorder="1" applyAlignment="1">
      <alignment horizontal="center" vertical="center" wrapText="1"/>
    </xf>
    <xf numFmtId="182" fontId="17" fillId="6" borderId="4" xfId="0" applyNumberFormat="1" applyFont="1" applyFill="1" applyBorder="1" applyAlignment="1">
      <alignment horizontal="center" vertical="center" wrapText="1"/>
    </xf>
    <xf numFmtId="182" fontId="17" fillId="6" borderId="15" xfId="0" applyNumberFormat="1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183" fontId="14" fillId="6" borderId="1" xfId="0" applyNumberFormat="1" applyFont="1" applyFill="1" applyBorder="1" applyAlignment="1">
      <alignment horizontal="center" vertical="center" wrapText="1"/>
    </xf>
    <xf numFmtId="182" fontId="17" fillId="6" borderId="5" xfId="0" applyNumberFormat="1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/>
    </xf>
    <xf numFmtId="183" fontId="14" fillId="5" borderId="1" xfId="0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/>
    </xf>
    <xf numFmtId="0" fontId="12" fillId="5" borderId="3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 indent="2"/>
    </xf>
    <xf numFmtId="183" fontId="14" fillId="0" borderId="1" xfId="0" applyNumberFormat="1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/>
    </xf>
    <xf numFmtId="180" fontId="14" fillId="6" borderId="1" xfId="3" applyNumberFormat="1" applyFont="1" applyFill="1" applyBorder="1" applyAlignment="1">
      <alignment horizontal="center" vertical="center" wrapText="1"/>
    </xf>
    <xf numFmtId="0" fontId="17" fillId="6" borderId="16" xfId="0" applyFont="1" applyFill="1" applyBorder="1" applyAlignment="1">
      <alignment horizontal="center" vertical="center" wrapText="1"/>
    </xf>
    <xf numFmtId="0" fontId="17" fillId="6" borderId="19" xfId="0" applyFont="1" applyFill="1" applyBorder="1" applyAlignment="1">
      <alignment horizontal="center" vertical="center" wrapText="1"/>
    </xf>
    <xf numFmtId="182" fontId="17" fillId="6" borderId="16" xfId="0" applyNumberFormat="1" applyFont="1" applyFill="1" applyBorder="1" applyAlignment="1">
      <alignment horizontal="center" vertical="center" wrapText="1"/>
    </xf>
    <xf numFmtId="182" fontId="17" fillId="6" borderId="19" xfId="0" applyNumberFormat="1" applyFont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center" vertical="center" wrapText="1"/>
    </xf>
    <xf numFmtId="0" fontId="17" fillId="6" borderId="20" xfId="0" applyFont="1" applyFill="1" applyBorder="1" applyAlignment="1">
      <alignment horizontal="center" vertical="center" wrapText="1"/>
    </xf>
    <xf numFmtId="182" fontId="17" fillId="6" borderId="18" xfId="0" applyNumberFormat="1" applyFont="1" applyFill="1" applyBorder="1" applyAlignment="1">
      <alignment horizontal="center" vertical="center" wrapText="1"/>
    </xf>
    <xf numFmtId="182" fontId="17" fillId="6" borderId="20" xfId="0" applyNumberFormat="1" applyFont="1" applyFill="1" applyBorder="1" applyAlignment="1">
      <alignment horizontal="center" vertical="center" wrapText="1"/>
    </xf>
    <xf numFmtId="183" fontId="14" fillId="5" borderId="2" xfId="0" applyNumberFormat="1" applyFont="1" applyFill="1" applyBorder="1" applyAlignment="1">
      <alignment horizontal="center" vertical="center" wrapText="1"/>
    </xf>
    <xf numFmtId="183" fontId="14" fillId="5" borderId="4" xfId="0" applyNumberFormat="1" applyFont="1" applyFill="1" applyBorder="1" applyAlignment="1">
      <alignment horizontal="center" vertical="center" wrapText="1"/>
    </xf>
    <xf numFmtId="183" fontId="14" fillId="0" borderId="2" xfId="0" applyNumberFormat="1" applyFont="1" applyFill="1" applyBorder="1" applyAlignment="1">
      <alignment horizontal="center" vertical="center" wrapText="1"/>
    </xf>
    <xf numFmtId="183" fontId="14" fillId="0" borderId="4" xfId="0" applyNumberFormat="1" applyFont="1" applyFill="1" applyBorder="1" applyAlignment="1">
      <alignment horizontal="center" vertical="center" wrapText="1"/>
    </xf>
    <xf numFmtId="183" fontId="18" fillId="6" borderId="2" xfId="0" applyNumberFormat="1" applyFont="1" applyFill="1" applyBorder="1" applyAlignment="1">
      <alignment horizontal="center" vertical="center" wrapText="1"/>
    </xf>
    <xf numFmtId="183" fontId="18" fillId="6" borderId="4" xfId="0" applyNumberFormat="1" applyFont="1" applyFill="1" applyBorder="1" applyAlignment="1">
      <alignment horizontal="center" vertical="center" wrapText="1"/>
    </xf>
    <xf numFmtId="183" fontId="14" fillId="6" borderId="2" xfId="0" applyNumberFormat="1" applyFont="1" applyFill="1" applyBorder="1" applyAlignment="1">
      <alignment horizontal="center" vertical="center" wrapText="1"/>
    </xf>
    <xf numFmtId="183" fontId="14" fillId="6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xie.wenbin\Desktop\&#19996;&#26041;&#26126;&#29664;&#24037;&#20316;&#25991;&#20214;&#22841;\&#26032;&#31199;&#36161;&#20934;&#21017;\&#31199;&#36161;&#35782;&#2103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ui.yafang\Desktop\&#31199;&#36161;&#35745;&#31639;&#20844;&#24335;--&#27827;&#21271;&#32852;&#36890;&#20113;&#28216;&#25103;&#26381;&#21153;&#22120;&#31199;&#3616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统计表"/>
      <sheetName val="基础数据"/>
      <sheetName val="无形资产经营权统计"/>
      <sheetName val="国际交流合并--无形资产"/>
      <sheetName val="绿舟宾馆--无形资产"/>
      <sheetName val="母公司--无形资产"/>
      <sheetName val="新兴媒体--长期待摊"/>
      <sheetName val="东方有线合并--长期待摊"/>
      <sheetName val="上海东方明珠投资管理--长期待摊"/>
      <sheetName val="贷款情况"/>
      <sheetName val="按板块反应"/>
      <sheetName val="大额"/>
      <sheetName val="承租人统计表"/>
      <sheetName val="出租人统计表"/>
      <sheetName val="明细表格"/>
      <sheetName val="识别流程图"/>
      <sheetName val="租赁的判断"/>
      <sheetName val="合同分拆流程图"/>
      <sheetName val="租赁的概述"/>
      <sheetName val="承租人的会计处理"/>
      <sheetName val="出租人的会计处理"/>
      <sheetName val="特殊情况的租赁处理"/>
      <sheetName val="企业会计准则"/>
      <sheetName val="租赁衔接规定"/>
      <sheetName val="衔接举例"/>
      <sheetName val="新租赁准则实施的年报表述"/>
      <sheetName val="租赁初始计量表"/>
      <sheetName val="租赁后续计量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会计分录"/>
      <sheetName val="原始数据录入"/>
      <sheetName val="使用说明"/>
      <sheetName val="租赁初始计量表"/>
      <sheetName val="租赁后续计量表"/>
    </sheetNames>
    <sheetDataSet>
      <sheetData sheetId="0"/>
      <sheetData sheetId="1">
        <row r="18">
          <cell r="L18">
            <v>366</v>
          </cell>
        </row>
      </sheetData>
      <sheetData sheetId="2"/>
      <sheetData sheetId="3">
        <row r="40">
          <cell r="D40">
            <v>46235</v>
          </cell>
        </row>
        <row r="41">
          <cell r="D41">
            <v>46265</v>
          </cell>
        </row>
        <row r="42">
          <cell r="D42">
            <v>46295</v>
          </cell>
        </row>
        <row r="43">
          <cell r="D43">
            <v>46326</v>
          </cell>
        </row>
        <row r="44">
          <cell r="D44">
            <v>46356</v>
          </cell>
        </row>
        <row r="45">
          <cell r="D45">
            <v>46387</v>
          </cell>
        </row>
        <row r="46">
          <cell r="D46">
            <v>46418</v>
          </cell>
        </row>
        <row r="47">
          <cell r="D47">
            <v>46446</v>
          </cell>
        </row>
        <row r="48">
          <cell r="D48">
            <v>46477</v>
          </cell>
        </row>
        <row r="49">
          <cell r="D49">
            <v>46507</v>
          </cell>
        </row>
        <row r="50">
          <cell r="D50">
            <v>46538</v>
          </cell>
        </row>
        <row r="51">
          <cell r="D51">
            <v>46568</v>
          </cell>
        </row>
        <row r="52">
          <cell r="D52">
            <v>46599</v>
          </cell>
        </row>
        <row r="53">
          <cell r="D53">
            <v>46630</v>
          </cell>
        </row>
        <row r="54">
          <cell r="D54">
            <v>46660</v>
          </cell>
        </row>
        <row r="55">
          <cell r="D55">
            <v>46691</v>
          </cell>
        </row>
        <row r="56">
          <cell r="D56">
            <v>46721</v>
          </cell>
        </row>
        <row r="57">
          <cell r="D57">
            <v>46752</v>
          </cell>
        </row>
      </sheetData>
      <sheetData sheetId="4">
        <row r="3">
          <cell r="C3">
            <v>46235</v>
          </cell>
        </row>
        <row r="4">
          <cell r="C4">
            <v>46265</v>
          </cell>
        </row>
        <row r="5">
          <cell r="C5">
            <v>46295</v>
          </cell>
        </row>
        <row r="6">
          <cell r="C6">
            <v>46326</v>
          </cell>
        </row>
        <row r="7">
          <cell r="C7">
            <v>46356</v>
          </cell>
        </row>
        <row r="8">
          <cell r="C8">
            <v>46387</v>
          </cell>
        </row>
        <row r="9">
          <cell r="C9">
            <v>46418</v>
          </cell>
        </row>
        <row r="10">
          <cell r="C10">
            <v>46446</v>
          </cell>
        </row>
        <row r="11">
          <cell r="C11">
            <v>46477</v>
          </cell>
        </row>
        <row r="12">
          <cell r="C12">
            <v>46507</v>
          </cell>
        </row>
        <row r="13">
          <cell r="C13">
            <v>46538</v>
          </cell>
        </row>
        <row r="14">
          <cell r="C14">
            <v>46568</v>
          </cell>
        </row>
        <row r="15">
          <cell r="C15">
            <v>46599</v>
          </cell>
        </row>
        <row r="16">
          <cell r="C16">
            <v>46630</v>
          </cell>
        </row>
        <row r="17">
          <cell r="C17">
            <v>46660</v>
          </cell>
        </row>
        <row r="18">
          <cell r="C18">
            <v>46691</v>
          </cell>
        </row>
        <row r="19">
          <cell r="C19">
            <v>46721</v>
          </cell>
        </row>
        <row r="20">
          <cell r="C20">
            <v>46752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X38"/>
  <sheetViews>
    <sheetView showGridLines="0" tabSelected="1" topLeftCell="B1" workbookViewId="0">
      <selection activeCell="X38" sqref="X38"/>
    </sheetView>
  </sheetViews>
  <sheetFormatPr defaultColWidth="9" defaultRowHeight="16.5"/>
  <cols>
    <col min="1" max="1" width="1.375" style="69" customWidth="1"/>
    <col min="2" max="2" width="11.25" style="69" customWidth="1"/>
    <col min="3" max="3" width="6.5" style="69" customWidth="1"/>
    <col min="4" max="4" width="7.5" style="69" customWidth="1"/>
    <col min="5" max="5" width="3.125" style="70" customWidth="1"/>
    <col min="6" max="6" width="7.00833333333333" style="70" customWidth="1"/>
    <col min="7" max="7" width="7" style="69" customWidth="1"/>
    <col min="8" max="9" width="7.00833333333333" style="69" customWidth="1"/>
    <col min="10" max="10" width="7.00833333333333" style="71" customWidth="1"/>
    <col min="11" max="12" width="7.00833333333333" style="69" customWidth="1"/>
    <col min="13" max="13" width="3.375" style="69" customWidth="1"/>
    <col min="14" max="14" width="13.875" style="69" customWidth="1"/>
    <col min="15" max="15" width="5.125" style="69" customWidth="1"/>
    <col min="16" max="16" width="1.75" style="69" customWidth="1"/>
    <col min="17" max="24" width="7.00833333333333" style="69" customWidth="1"/>
    <col min="25" max="16384" width="9" style="69"/>
  </cols>
  <sheetData>
    <row r="1" ht="5" customHeight="1"/>
    <row r="2" s="69" customFormat="1" ht="22" customHeight="1" spans="2:24">
      <c r="B2" s="72" t="s">
        <v>0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4"/>
    </row>
    <row r="3" s="69" customFormat="1" ht="31" customHeight="1" spans="2:24">
      <c r="B3" s="75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</row>
    <row r="4" s="69" customFormat="1" ht="22" customHeight="1" spans="2:24"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7"/>
    </row>
    <row r="5" s="69" customFormat="1" ht="30" customHeight="1" spans="2:24">
      <c r="B5" s="75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7"/>
    </row>
    <row r="6" s="69" customFormat="1" ht="63" customHeight="1" spans="2:24">
      <c r="B6" s="78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80"/>
    </row>
    <row r="7" s="69" customFormat="1" ht="8" customHeight="1" spans="2:24">
      <c r="B7" s="81"/>
      <c r="C7" s="69"/>
      <c r="D7" s="69"/>
      <c r="E7" s="69"/>
      <c r="F7" s="81"/>
      <c r="J7" s="71"/>
    </row>
    <row r="8" s="69" customFormat="1" ht="6" customHeight="1" spans="2:24">
      <c r="B8" s="72" t="s">
        <v>1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4"/>
    </row>
    <row r="9" s="69" customFormat="1" ht="38" customHeight="1" spans="2:24">
      <c r="B9" s="75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7"/>
    </row>
    <row r="10" s="69" customFormat="1" ht="44" customHeight="1" spans="2:24">
      <c r="B10" s="78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80"/>
    </row>
    <row r="11" s="69" customFormat="1" ht="19" customHeight="1" spans="2:24">
      <c r="B11" s="82"/>
      <c r="C11" s="82"/>
      <c r="D11" s="82"/>
      <c r="E11" s="70"/>
      <c r="F11" s="70"/>
      <c r="J11" s="71"/>
    </row>
    <row r="12" s="69" customFormat="1" spans="2:24">
      <c r="B12" s="83" t="s">
        <v>2</v>
      </c>
      <c r="C12" s="82"/>
      <c r="D12" s="82"/>
      <c r="E12" s="70"/>
      <c r="F12" s="70"/>
      <c r="J12" s="71"/>
      <c r="L12" s="84" t="s">
        <v>3</v>
      </c>
      <c r="M12" s="82"/>
      <c r="N12" s="83" t="s">
        <v>4</v>
      </c>
      <c r="O12" s="70"/>
      <c r="X12" s="84" t="s">
        <v>3</v>
      </c>
    </row>
    <row r="13" s="69" customFormat="1" spans="2:24">
      <c r="B13" s="85" t="s">
        <v>5</v>
      </c>
      <c r="C13" s="85"/>
      <c r="D13" s="85"/>
      <c r="E13" s="85"/>
      <c r="F13" s="86" t="s">
        <v>6</v>
      </c>
      <c r="G13" s="87"/>
      <c r="H13" s="88"/>
      <c r="I13" s="89" t="s">
        <v>7</v>
      </c>
      <c r="J13" s="90"/>
      <c r="K13" s="91"/>
      <c r="L13" s="92" t="s">
        <v>8</v>
      </c>
      <c r="M13" s="71"/>
      <c r="N13" s="93" t="s">
        <v>5</v>
      </c>
      <c r="O13" s="94"/>
      <c r="P13" s="94"/>
      <c r="Q13" s="94"/>
      <c r="R13" s="86" t="s">
        <v>6</v>
      </c>
      <c r="S13" s="87"/>
      <c r="T13" s="88"/>
      <c r="U13" s="89" t="s">
        <v>7</v>
      </c>
      <c r="V13" s="90"/>
      <c r="W13" s="91"/>
      <c r="X13" s="92" t="s">
        <v>8</v>
      </c>
    </row>
    <row r="14" s="69" customFormat="1" spans="2:24">
      <c r="B14" s="85"/>
      <c r="C14" s="85"/>
      <c r="D14" s="85"/>
      <c r="E14" s="85"/>
      <c r="F14" s="95" t="s">
        <v>9</v>
      </c>
      <c r="G14" s="96" t="s">
        <v>10</v>
      </c>
      <c r="H14" s="96" t="s">
        <v>11</v>
      </c>
      <c r="I14" s="95" t="s">
        <v>9</v>
      </c>
      <c r="J14" s="96" t="s">
        <v>10</v>
      </c>
      <c r="K14" s="96" t="s">
        <v>11</v>
      </c>
      <c r="L14" s="97"/>
      <c r="M14" s="71"/>
      <c r="N14" s="98"/>
      <c r="O14" s="99"/>
      <c r="P14" s="99"/>
      <c r="Q14" s="99"/>
      <c r="R14" s="95" t="s">
        <v>9</v>
      </c>
      <c r="S14" s="96" t="s">
        <v>10</v>
      </c>
      <c r="T14" s="96" t="s">
        <v>11</v>
      </c>
      <c r="U14" s="95" t="s">
        <v>9</v>
      </c>
      <c r="V14" s="96" t="s">
        <v>10</v>
      </c>
      <c r="W14" s="96" t="s">
        <v>11</v>
      </c>
      <c r="X14" s="97"/>
    </row>
    <row r="15" s="69" customFormat="1" spans="2:24">
      <c r="B15" s="100" t="s">
        <v>12</v>
      </c>
      <c r="C15" s="100"/>
      <c r="D15" s="100"/>
      <c r="E15" s="100"/>
      <c r="F15" s="101">
        <f>G15+H15</f>
        <v>117.924528301887</v>
      </c>
      <c r="G15" s="101">
        <f>G16</f>
        <v>94.3396226415094</v>
      </c>
      <c r="H15" s="101">
        <f>H16</f>
        <v>23.5849056603774</v>
      </c>
      <c r="I15" s="101">
        <f t="shared" ref="I15:I23" si="0">J15+K15</f>
        <v>283.018867924528</v>
      </c>
      <c r="J15" s="101">
        <f>J16</f>
        <v>226.415094339623</v>
      </c>
      <c r="K15" s="101">
        <f>K16</f>
        <v>56.6037735849057</v>
      </c>
      <c r="L15" s="101">
        <f t="shared" ref="L15:L23" si="1">F15+I15</f>
        <v>400.943396226415</v>
      </c>
      <c r="M15" s="71"/>
      <c r="N15" s="102" t="s">
        <v>12</v>
      </c>
      <c r="O15" s="103"/>
      <c r="P15" s="103"/>
      <c r="Q15" s="104"/>
      <c r="R15" s="101">
        <f t="shared" ref="R15:R23" si="2">S15+T15</f>
        <v>117.924528301887</v>
      </c>
      <c r="S15" s="101">
        <f t="shared" ref="S15:W15" si="3">S16</f>
        <v>94.3396226415094</v>
      </c>
      <c r="T15" s="101">
        <f t="shared" si="3"/>
        <v>23.5849056603774</v>
      </c>
      <c r="U15" s="101">
        <f t="shared" ref="U15:U23" si="4">V15+W15</f>
        <v>283.018867924528</v>
      </c>
      <c r="V15" s="101">
        <f t="shared" si="3"/>
        <v>226.415094339623</v>
      </c>
      <c r="W15" s="101">
        <f t="shared" si="3"/>
        <v>56.6037735849057</v>
      </c>
      <c r="X15" s="101">
        <f>R15+U15</f>
        <v>400.943396226415</v>
      </c>
    </row>
    <row r="16" s="69" customFormat="1" spans="2:24">
      <c r="B16" s="105" t="s">
        <v>13</v>
      </c>
      <c r="C16" s="105"/>
      <c r="D16" s="105"/>
      <c r="E16" s="105"/>
      <c r="F16" s="106">
        <f t="shared" ref="F16:F23" si="5">G16+H16</f>
        <v>117.924528301887</v>
      </c>
      <c r="G16" s="106">
        <f>20*5/1.06</f>
        <v>94.3396226415094</v>
      </c>
      <c r="H16" s="106">
        <f>5*5/1.06</f>
        <v>23.5849056603774</v>
      </c>
      <c r="I16" s="106">
        <f t="shared" si="0"/>
        <v>283.018867924528</v>
      </c>
      <c r="J16" s="106">
        <f>240/1.06</f>
        <v>226.415094339623</v>
      </c>
      <c r="K16" s="106">
        <f>60/1.06</f>
        <v>56.6037735849057</v>
      </c>
      <c r="L16" s="106">
        <f t="shared" si="1"/>
        <v>400.943396226415</v>
      </c>
      <c r="M16" s="71"/>
      <c r="N16" s="105" t="s">
        <v>13</v>
      </c>
      <c r="O16" s="105"/>
      <c r="P16" s="105"/>
      <c r="Q16" s="105"/>
      <c r="R16" s="106">
        <f t="shared" si="2"/>
        <v>117.924528301887</v>
      </c>
      <c r="S16" s="106">
        <f>20*5/1.06</f>
        <v>94.3396226415094</v>
      </c>
      <c r="T16" s="106">
        <f>5*5/1.06</f>
        <v>23.5849056603774</v>
      </c>
      <c r="U16" s="106">
        <f t="shared" si="4"/>
        <v>283.018867924528</v>
      </c>
      <c r="V16" s="106">
        <f>240/1.06</f>
        <v>226.415094339623</v>
      </c>
      <c r="W16" s="106">
        <f>60/1.06</f>
        <v>56.6037735849057</v>
      </c>
      <c r="X16" s="106">
        <f t="shared" ref="X15:X23" si="6">R16+U16</f>
        <v>400.943396226415</v>
      </c>
    </row>
    <row r="17" s="69" customFormat="1" spans="2:24">
      <c r="B17" s="100" t="s">
        <v>14</v>
      </c>
      <c r="C17" s="100"/>
      <c r="D17" s="100"/>
      <c r="E17" s="100"/>
      <c r="F17" s="101">
        <f t="shared" si="5"/>
        <v>53.9851703550286</v>
      </c>
      <c r="G17" s="101">
        <f>SUM(G18:G22)</f>
        <v>53.9851703550286</v>
      </c>
      <c r="H17" s="101">
        <f>SUM(H18:H22)</f>
        <v>0</v>
      </c>
      <c r="I17" s="101">
        <f t="shared" si="0"/>
        <v>120.156118859616</v>
      </c>
      <c r="J17" s="101">
        <f>SUM(J18:J22)</f>
        <v>120.156118859616</v>
      </c>
      <c r="K17" s="101">
        <f>SUM(K18:K22)</f>
        <v>0</v>
      </c>
      <c r="L17" s="101">
        <f t="shared" si="1"/>
        <v>174.141289214644</v>
      </c>
      <c r="M17" s="71"/>
      <c r="N17" s="102" t="s">
        <v>14</v>
      </c>
      <c r="O17" s="103"/>
      <c r="P17" s="103"/>
      <c r="Q17" s="104"/>
      <c r="R17" s="101">
        <f t="shared" si="2"/>
        <v>43.9191326191795</v>
      </c>
      <c r="S17" s="101">
        <f t="shared" ref="S17:W17" si="7">SUM(S18:S22)</f>
        <v>43.9191326191795</v>
      </c>
      <c r="T17" s="101">
        <f t="shared" si="7"/>
        <v>0</v>
      </c>
      <c r="U17" s="101">
        <f t="shared" si="4"/>
        <v>99.608949048295</v>
      </c>
      <c r="V17" s="101">
        <f t="shared" si="7"/>
        <v>99.608949048295</v>
      </c>
      <c r="W17" s="101">
        <f t="shared" si="7"/>
        <v>0</v>
      </c>
      <c r="X17" s="101">
        <f t="shared" si="6"/>
        <v>143.528081667474</v>
      </c>
    </row>
    <row r="18" s="69" customFormat="1" spans="2:24">
      <c r="B18" s="105" t="s">
        <v>15</v>
      </c>
      <c r="C18" s="105"/>
      <c r="D18" s="105"/>
      <c r="E18" s="105"/>
      <c r="F18" s="106">
        <f t="shared" si="5"/>
        <v>16.195533</v>
      </c>
      <c r="G18" s="106">
        <f>SUM(云游戏分月测算明细!B5:F5)</f>
        <v>16.195533</v>
      </c>
      <c r="H18" s="106"/>
      <c r="I18" s="106">
        <f t="shared" si="0"/>
        <v>38.124876</v>
      </c>
      <c r="J18" s="106">
        <f>SUM(云游戏分月测算明细!G5:R5)</f>
        <v>38.124876</v>
      </c>
      <c r="K18" s="106"/>
      <c r="L18" s="106">
        <f t="shared" si="1"/>
        <v>54.320409</v>
      </c>
      <c r="M18" s="71"/>
      <c r="N18" s="105" t="s">
        <v>15</v>
      </c>
      <c r="O18" s="105"/>
      <c r="P18" s="105"/>
      <c r="Q18" s="105"/>
      <c r="R18" s="106">
        <f t="shared" si="2"/>
        <v>16.195533</v>
      </c>
      <c r="S18" s="106">
        <f>SUM(云游戏分月测算明细!B17:F17)</f>
        <v>16.195533</v>
      </c>
      <c r="T18" s="106"/>
      <c r="U18" s="106">
        <f t="shared" si="4"/>
        <v>38.124876</v>
      </c>
      <c r="V18" s="106">
        <f>SUM(云游戏分月测算明细!G17:R17)</f>
        <v>38.124876</v>
      </c>
      <c r="W18" s="106"/>
      <c r="X18" s="106">
        <f t="shared" si="6"/>
        <v>54.320409</v>
      </c>
    </row>
    <row r="19" s="69" customFormat="1" spans="2:24">
      <c r="B19" s="105" t="s">
        <v>16</v>
      </c>
      <c r="C19" s="105"/>
      <c r="D19" s="105"/>
      <c r="E19" s="105"/>
      <c r="F19" s="106">
        <f t="shared" si="5"/>
        <v>2.83018867924528</v>
      </c>
      <c r="G19" s="106">
        <f>SUM(云游戏分月测算明细!B6:F6)</f>
        <v>2.83018867924528</v>
      </c>
      <c r="H19" s="106"/>
      <c r="I19" s="106">
        <f t="shared" si="0"/>
        <v>6.79245283018868</v>
      </c>
      <c r="J19" s="106">
        <f>SUM(云游戏分月测算明细!G6:R6)</f>
        <v>6.79245283018868</v>
      </c>
      <c r="K19" s="106"/>
      <c r="L19" s="106">
        <f t="shared" si="1"/>
        <v>9.62264150943396</v>
      </c>
      <c r="M19" s="71"/>
      <c r="N19" s="105" t="s">
        <v>16</v>
      </c>
      <c r="O19" s="105"/>
      <c r="P19" s="105"/>
      <c r="Q19" s="105"/>
      <c r="R19" s="106">
        <f t="shared" si="2"/>
        <v>2.83018867924528</v>
      </c>
      <c r="S19" s="106">
        <f>SUM(云游戏分月测算明细!B18:F18)</f>
        <v>2.83018867924528</v>
      </c>
      <c r="T19" s="106"/>
      <c r="U19" s="106">
        <f t="shared" si="4"/>
        <v>6.79245283018868</v>
      </c>
      <c r="V19" s="106">
        <f>SUM(云游戏分月测算明细!G18:R18)</f>
        <v>6.79245283018868</v>
      </c>
      <c r="W19" s="106"/>
      <c r="X19" s="106">
        <f t="shared" si="6"/>
        <v>9.62264150943396</v>
      </c>
    </row>
    <row r="20" s="69" customFormat="1" spans="2:24">
      <c r="B20" s="105" t="s">
        <v>17</v>
      </c>
      <c r="C20" s="105"/>
      <c r="D20" s="105"/>
      <c r="E20" s="105"/>
      <c r="F20" s="106">
        <f t="shared" si="5"/>
        <v>9.43396226415094</v>
      </c>
      <c r="G20" s="106">
        <f>SUM(云游戏分月测算明细!B7:F7)</f>
        <v>9.43396226415094</v>
      </c>
      <c r="H20" s="106"/>
      <c r="I20" s="106">
        <f t="shared" si="0"/>
        <v>22.6415094339623</v>
      </c>
      <c r="J20" s="106">
        <f>SUM(云游戏分月测算明细!G7:R7)</f>
        <v>22.6415094339623</v>
      </c>
      <c r="K20" s="106"/>
      <c r="L20" s="106">
        <f t="shared" si="1"/>
        <v>32.0754716981132</v>
      </c>
      <c r="M20" s="71"/>
      <c r="N20" s="105" t="s">
        <v>17</v>
      </c>
      <c r="O20" s="105"/>
      <c r="P20" s="105"/>
      <c r="Q20" s="105"/>
      <c r="R20" s="106">
        <f t="shared" si="2"/>
        <v>9.43396226415094</v>
      </c>
      <c r="S20" s="106">
        <f>SUM(云游戏分月测算明细!B19:F19)</f>
        <v>9.43396226415094</v>
      </c>
      <c r="T20" s="106"/>
      <c r="U20" s="106">
        <f t="shared" si="4"/>
        <v>22.6415094339623</v>
      </c>
      <c r="V20" s="106">
        <f>SUM(云游戏分月测算明细!G19:R19)</f>
        <v>22.6415094339623</v>
      </c>
      <c r="W20" s="106"/>
      <c r="X20" s="106">
        <f t="shared" si="6"/>
        <v>32.0754716981132</v>
      </c>
    </row>
    <row r="21" s="69" customFormat="1" spans="2:24">
      <c r="B21" s="105" t="s">
        <v>18</v>
      </c>
      <c r="C21" s="105"/>
      <c r="D21" s="105"/>
      <c r="E21" s="105"/>
      <c r="F21" s="106">
        <f t="shared" si="5"/>
        <v>1.37614678899083</v>
      </c>
      <c r="G21" s="106">
        <f>SUM(云游戏分月测算明细!B8:F8)</f>
        <v>1.37614678899083</v>
      </c>
      <c r="H21" s="106"/>
      <c r="I21" s="106">
        <f t="shared" si="0"/>
        <v>3.30275229357798</v>
      </c>
      <c r="J21" s="106">
        <f>SUM(云游戏分月测算明细!G8:R8)</f>
        <v>3.30275229357798</v>
      </c>
      <c r="K21" s="106"/>
      <c r="L21" s="106">
        <f t="shared" si="1"/>
        <v>4.67889908256881</v>
      </c>
      <c r="M21" s="71"/>
      <c r="N21" s="105" t="s">
        <v>18</v>
      </c>
      <c r="O21" s="105"/>
      <c r="P21" s="105"/>
      <c r="Q21" s="105"/>
      <c r="R21" s="106">
        <f t="shared" si="2"/>
        <v>1.37614678899083</v>
      </c>
      <c r="S21" s="106">
        <f>SUM(云游戏分月测算明细!B20:F20)</f>
        <v>1.37614678899083</v>
      </c>
      <c r="T21" s="106"/>
      <c r="U21" s="106">
        <f t="shared" si="4"/>
        <v>3.30275229357798</v>
      </c>
      <c r="V21" s="106">
        <f>SUM(云游戏分月测算明细!G20:R20)</f>
        <v>3.30275229357798</v>
      </c>
      <c r="W21" s="106"/>
      <c r="X21" s="106">
        <f t="shared" si="6"/>
        <v>4.67889908256881</v>
      </c>
    </row>
    <row r="22" s="69" customFormat="1" spans="2:24">
      <c r="B22" s="105" t="s">
        <v>19</v>
      </c>
      <c r="C22" s="105"/>
      <c r="D22" s="105"/>
      <c r="E22" s="105"/>
      <c r="F22" s="106">
        <f t="shared" si="5"/>
        <v>24.1493396226415</v>
      </c>
      <c r="G22" s="106">
        <f>SUM(云游戏分月测算明细!B9:F9)</f>
        <v>24.1493396226415</v>
      </c>
      <c r="H22" s="106"/>
      <c r="I22" s="106">
        <f t="shared" si="0"/>
        <v>49.2945283018868</v>
      </c>
      <c r="J22" s="106">
        <f>SUM(云游戏分月测算明细!G9:R9)</f>
        <v>49.2945283018868</v>
      </c>
      <c r="K22" s="106"/>
      <c r="L22" s="106">
        <f t="shared" si="1"/>
        <v>73.4438679245283</v>
      </c>
      <c r="M22" s="71"/>
      <c r="N22" s="105" t="s">
        <v>19</v>
      </c>
      <c r="O22" s="105"/>
      <c r="P22" s="105"/>
      <c r="Q22" s="105"/>
      <c r="R22" s="106">
        <f t="shared" si="2"/>
        <v>14.0833018867925</v>
      </c>
      <c r="S22" s="106">
        <f>SUM(云游戏分月测算明细!B21:F21)</f>
        <v>14.0833018867925</v>
      </c>
      <c r="T22" s="106"/>
      <c r="U22" s="106">
        <f t="shared" si="4"/>
        <v>28.747358490566</v>
      </c>
      <c r="V22" s="106">
        <f>SUM(云游戏分月测算明细!G21:R21)</f>
        <v>28.747358490566</v>
      </c>
      <c r="W22" s="106"/>
      <c r="X22" s="106">
        <f t="shared" si="6"/>
        <v>42.8306603773585</v>
      </c>
    </row>
    <row r="23" s="69" customFormat="1" spans="2:24">
      <c r="B23" s="107" t="s">
        <v>20</v>
      </c>
      <c r="C23" s="107"/>
      <c r="D23" s="107"/>
      <c r="E23" s="107"/>
      <c r="F23" s="96">
        <f t="shared" si="5"/>
        <v>63.9393579468582</v>
      </c>
      <c r="G23" s="96">
        <f>G15-G17</f>
        <v>40.3544522864808</v>
      </c>
      <c r="H23" s="96">
        <f>H15-H17</f>
        <v>23.5849056603774</v>
      </c>
      <c r="I23" s="96">
        <f t="shared" si="0"/>
        <v>162.862749064913</v>
      </c>
      <c r="J23" s="96">
        <f>J15-J17</f>
        <v>106.258975480007</v>
      </c>
      <c r="K23" s="96">
        <f>K15-K17</f>
        <v>56.6037735849057</v>
      </c>
      <c r="L23" s="96">
        <f t="shared" si="1"/>
        <v>226.802107011771</v>
      </c>
      <c r="M23" s="71"/>
      <c r="N23" s="107" t="s">
        <v>20</v>
      </c>
      <c r="O23" s="107"/>
      <c r="P23" s="107"/>
      <c r="Q23" s="107"/>
      <c r="R23" s="96">
        <f t="shared" si="2"/>
        <v>74.0053956827073</v>
      </c>
      <c r="S23" s="96">
        <f t="shared" ref="S23:W23" si="8">S15-S17</f>
        <v>50.4204900223299</v>
      </c>
      <c r="T23" s="96">
        <f t="shared" si="8"/>
        <v>23.5849056603774</v>
      </c>
      <c r="U23" s="96">
        <f t="shared" si="4"/>
        <v>183.409918876234</v>
      </c>
      <c r="V23" s="96">
        <f t="shared" si="8"/>
        <v>126.806145291328</v>
      </c>
      <c r="W23" s="96">
        <f t="shared" si="8"/>
        <v>56.6037735849057</v>
      </c>
      <c r="X23" s="96">
        <f t="shared" si="6"/>
        <v>257.415314558941</v>
      </c>
    </row>
    <row r="24" s="69" customFormat="1" spans="2:24">
      <c r="B24" s="107" t="s">
        <v>21</v>
      </c>
      <c r="C24" s="107"/>
      <c r="D24" s="107"/>
      <c r="E24" s="107"/>
      <c r="F24" s="108">
        <f>F23/F15</f>
        <v>0.542205755389357</v>
      </c>
      <c r="G24" s="108">
        <f t="shared" ref="F24:I24" si="9">G23/G15</f>
        <v>0.427757194236697</v>
      </c>
      <c r="H24" s="108">
        <f t="shared" si="9"/>
        <v>1</v>
      </c>
      <c r="I24" s="108">
        <f t="shared" si="9"/>
        <v>0.57544838002936</v>
      </c>
      <c r="J24" s="108">
        <f t="shared" ref="J24:L24" si="10">J23/J15</f>
        <v>0.469310475036698</v>
      </c>
      <c r="K24" s="108">
        <f t="shared" si="10"/>
        <v>1</v>
      </c>
      <c r="L24" s="108">
        <f t="shared" si="10"/>
        <v>0.565671137488182</v>
      </c>
      <c r="M24" s="71"/>
      <c r="N24" s="107" t="s">
        <v>21</v>
      </c>
      <c r="O24" s="107"/>
      <c r="P24" s="107"/>
      <c r="Q24" s="107"/>
      <c r="R24" s="108">
        <f t="shared" ref="R24:X24" si="11">R23/R15</f>
        <v>0.627565755389357</v>
      </c>
      <c r="S24" s="108">
        <f t="shared" si="11"/>
        <v>0.534457194236697</v>
      </c>
      <c r="T24" s="108">
        <f t="shared" si="11"/>
        <v>1</v>
      </c>
      <c r="U24" s="108">
        <f t="shared" si="11"/>
        <v>0.64804838002936</v>
      </c>
      <c r="V24" s="108">
        <f t="shared" si="11"/>
        <v>0.560060475036698</v>
      </c>
      <c r="W24" s="108">
        <f t="shared" si="11"/>
        <v>1</v>
      </c>
      <c r="X24" s="108">
        <f t="shared" si="11"/>
        <v>0.642024078664653</v>
      </c>
    </row>
    <row r="25" s="69" customFormat="1" ht="14" customHeight="1" spans="2:24">
      <c r="E25" s="70"/>
      <c r="F25" s="69"/>
      <c r="J25" s="71"/>
    </row>
    <row r="26" spans="2:24">
      <c r="B26" s="83" t="s">
        <v>22</v>
      </c>
      <c r="C26" s="82"/>
      <c r="D26" s="82"/>
      <c r="L26" s="84" t="s">
        <v>3</v>
      </c>
      <c r="N26" s="83" t="s">
        <v>23</v>
      </c>
      <c r="O26" s="82"/>
      <c r="P26" s="82"/>
      <c r="Q26" s="70"/>
      <c r="R26" s="70"/>
      <c r="V26" s="71"/>
      <c r="X26" s="84" t="s">
        <v>3</v>
      </c>
    </row>
    <row r="27" s="69" customFormat="1" spans="2:24">
      <c r="B27" s="85" t="s">
        <v>24</v>
      </c>
      <c r="C27" s="85"/>
      <c r="D27" s="85"/>
      <c r="E27" s="85"/>
      <c r="F27" s="109" t="s">
        <v>6</v>
      </c>
      <c r="G27" s="110"/>
      <c r="H27" s="111" t="s">
        <v>7</v>
      </c>
      <c r="I27" s="112"/>
      <c r="J27" s="111" t="s">
        <v>25</v>
      </c>
      <c r="K27" s="112"/>
      <c r="L27" s="92" t="s">
        <v>8</v>
      </c>
      <c r="N27" s="85" t="s">
        <v>24</v>
      </c>
      <c r="O27" s="85"/>
      <c r="P27" s="85"/>
      <c r="Q27" s="85"/>
      <c r="R27" s="109" t="s">
        <v>6</v>
      </c>
      <c r="S27" s="110"/>
      <c r="T27" s="111" t="s">
        <v>7</v>
      </c>
      <c r="U27" s="112"/>
      <c r="V27" s="111" t="s">
        <v>25</v>
      </c>
      <c r="W27" s="112"/>
      <c r="X27" s="92" t="s">
        <v>8</v>
      </c>
    </row>
    <row r="28" s="69" customFormat="1" spans="2:24">
      <c r="B28" s="85"/>
      <c r="C28" s="85"/>
      <c r="D28" s="85"/>
      <c r="E28" s="85"/>
      <c r="F28" s="113"/>
      <c r="G28" s="114"/>
      <c r="H28" s="115"/>
      <c r="I28" s="116"/>
      <c r="J28" s="115"/>
      <c r="K28" s="116"/>
      <c r="L28" s="97"/>
      <c r="N28" s="85"/>
      <c r="O28" s="85"/>
      <c r="P28" s="85"/>
      <c r="Q28" s="85"/>
      <c r="R28" s="113"/>
      <c r="S28" s="114"/>
      <c r="T28" s="115"/>
      <c r="U28" s="116"/>
      <c r="V28" s="115"/>
      <c r="W28" s="116"/>
      <c r="X28" s="97"/>
    </row>
    <row r="29" s="69" customFormat="1" spans="2:24">
      <c r="B29" s="100" t="s">
        <v>26</v>
      </c>
      <c r="C29" s="100"/>
      <c r="D29" s="100"/>
      <c r="E29" s="100"/>
      <c r="F29" s="117">
        <f t="shared" ref="F29:J29" si="12">F30+F31</f>
        <v>50</v>
      </c>
      <c r="G29" s="118"/>
      <c r="H29" s="117">
        <f t="shared" si="12"/>
        <v>300</v>
      </c>
      <c r="I29" s="118"/>
      <c r="J29" s="117">
        <f t="shared" si="12"/>
        <v>75</v>
      </c>
      <c r="K29" s="118"/>
      <c r="L29" s="101">
        <f t="shared" ref="L29:L38" si="13">F29+H29+J29</f>
        <v>425</v>
      </c>
      <c r="N29" s="100" t="s">
        <v>26</v>
      </c>
      <c r="O29" s="100"/>
      <c r="P29" s="100"/>
      <c r="Q29" s="100"/>
      <c r="R29" s="117">
        <f t="shared" ref="R29:V29" si="14">R30+R31</f>
        <v>50</v>
      </c>
      <c r="S29" s="118"/>
      <c r="T29" s="117">
        <f t="shared" si="14"/>
        <v>300</v>
      </c>
      <c r="U29" s="118"/>
      <c r="V29" s="117">
        <f t="shared" si="14"/>
        <v>75</v>
      </c>
      <c r="W29" s="118"/>
      <c r="X29" s="101">
        <f t="shared" ref="X29:X38" si="15">R29+T29+V29</f>
        <v>425</v>
      </c>
    </row>
    <row r="30" s="69" customFormat="1" spans="2:24">
      <c r="B30" s="105" t="s">
        <v>27</v>
      </c>
      <c r="C30" s="105"/>
      <c r="D30" s="105"/>
      <c r="E30" s="105"/>
      <c r="F30" s="119">
        <f>SUM(云游戏分月测算明细!B28:F28)</f>
        <v>40</v>
      </c>
      <c r="G30" s="120"/>
      <c r="H30" s="119">
        <f>SUM(云游戏分月测算明细!G28:R28)</f>
        <v>240</v>
      </c>
      <c r="I30" s="120"/>
      <c r="J30" s="119">
        <f>SUM(云游戏分月测算明细!S28:U28)</f>
        <v>60</v>
      </c>
      <c r="K30" s="120"/>
      <c r="L30" s="106">
        <f t="shared" si="13"/>
        <v>340</v>
      </c>
      <c r="N30" s="105" t="s">
        <v>27</v>
      </c>
      <c r="O30" s="105"/>
      <c r="P30" s="105"/>
      <c r="Q30" s="105"/>
      <c r="R30" s="119">
        <f>SUM(云游戏分月测算明细!B41:F41)</f>
        <v>40</v>
      </c>
      <c r="S30" s="120"/>
      <c r="T30" s="119">
        <f>SUM(云游戏分月测算明细!G41:R41)</f>
        <v>240</v>
      </c>
      <c r="U30" s="120"/>
      <c r="V30" s="119">
        <f>SUM(云游戏分月测算明细!S41:U41)</f>
        <v>60</v>
      </c>
      <c r="W30" s="120"/>
      <c r="X30" s="106">
        <f t="shared" si="15"/>
        <v>340</v>
      </c>
    </row>
    <row r="31" spans="2:24">
      <c r="B31" s="105" t="s">
        <v>28</v>
      </c>
      <c r="C31" s="105"/>
      <c r="D31" s="105"/>
      <c r="E31" s="105"/>
      <c r="F31" s="119">
        <f>SUM(云游戏分月测算明细!B29:F29)</f>
        <v>10</v>
      </c>
      <c r="G31" s="120"/>
      <c r="H31" s="119">
        <f>SUM(云游戏分月测算明细!G29:R29)</f>
        <v>60</v>
      </c>
      <c r="I31" s="120"/>
      <c r="J31" s="119">
        <f>SUM(云游戏分月测算明细!S29:U29)</f>
        <v>15</v>
      </c>
      <c r="K31" s="120"/>
      <c r="L31" s="106">
        <f t="shared" si="13"/>
        <v>85</v>
      </c>
      <c r="N31" s="105" t="s">
        <v>28</v>
      </c>
      <c r="O31" s="105"/>
      <c r="P31" s="105"/>
      <c r="Q31" s="105"/>
      <c r="R31" s="119">
        <f>SUM(云游戏分月测算明细!B42:F42)</f>
        <v>10</v>
      </c>
      <c r="S31" s="120"/>
      <c r="T31" s="119">
        <f>SUM(云游戏分月测算明细!G42:R42)</f>
        <v>60</v>
      </c>
      <c r="U31" s="120"/>
      <c r="V31" s="119">
        <f>SUM(云游戏分月测算明细!S42:U42)</f>
        <v>15</v>
      </c>
      <c r="W31" s="120"/>
      <c r="X31" s="106">
        <f t="shared" si="15"/>
        <v>85</v>
      </c>
    </row>
    <row r="32" spans="2:24">
      <c r="B32" s="100" t="s">
        <v>29</v>
      </c>
      <c r="C32" s="100"/>
      <c r="D32" s="100"/>
      <c r="E32" s="100"/>
      <c r="F32" s="117">
        <f t="shared" ref="F32:J32" si="16">SUM(F33:G37)</f>
        <v>55.85525</v>
      </c>
      <c r="G32" s="118">
        <f t="shared" ref="G32:K32" si="17">SUM(G33:G37)</f>
        <v>0</v>
      </c>
      <c r="H32" s="117">
        <f t="shared" si="16"/>
        <v>120.1122</v>
      </c>
      <c r="I32" s="118">
        <f t="shared" si="17"/>
        <v>0</v>
      </c>
      <c r="J32" s="117">
        <f>SUM(J33:K37)</f>
        <v>17.56805</v>
      </c>
      <c r="K32" s="118">
        <f>SUM(K33:K37)</f>
        <v>0</v>
      </c>
      <c r="L32" s="101">
        <f t="shared" si="13"/>
        <v>193.5355</v>
      </c>
      <c r="N32" s="100" t="s">
        <v>29</v>
      </c>
      <c r="O32" s="100"/>
      <c r="P32" s="100"/>
      <c r="Q32" s="100"/>
      <c r="R32" s="117">
        <f t="shared" ref="R32:V32" si="18">SUM(R33:S37)</f>
        <v>50.63025</v>
      </c>
      <c r="S32" s="118">
        <f t="shared" ref="S32:W32" si="19">SUM(S33:S37)</f>
        <v>0</v>
      </c>
      <c r="T32" s="117">
        <f t="shared" si="18"/>
        <v>98.3322</v>
      </c>
      <c r="U32" s="118">
        <f t="shared" si="19"/>
        <v>0</v>
      </c>
      <c r="V32" s="117">
        <f t="shared" si="18"/>
        <v>12.12305</v>
      </c>
      <c r="W32" s="118">
        <f t="shared" si="19"/>
        <v>0</v>
      </c>
      <c r="X32" s="101">
        <f t="shared" si="15"/>
        <v>161.0855</v>
      </c>
    </row>
    <row r="33" spans="2:24">
      <c r="B33" s="105" t="s">
        <v>30</v>
      </c>
      <c r="C33" s="105"/>
      <c r="D33" s="105"/>
      <c r="E33" s="105"/>
      <c r="F33" s="119">
        <f>SUM(云游戏分月测算明细!B31:F31)</f>
        <v>15.62</v>
      </c>
      <c r="G33" s="120"/>
      <c r="H33" s="119">
        <f>SUM(云游戏分月测算明细!G31:R31)</f>
        <v>46.86</v>
      </c>
      <c r="I33" s="120"/>
      <c r="J33" s="119">
        <f>SUM(云游戏分月测算明细!S31:U31)</f>
        <v>3.905</v>
      </c>
      <c r="K33" s="120"/>
      <c r="L33" s="106">
        <f t="shared" si="13"/>
        <v>66.385</v>
      </c>
      <c r="N33" s="105" t="s">
        <v>30</v>
      </c>
      <c r="O33" s="105"/>
      <c r="P33" s="105"/>
      <c r="Q33" s="105"/>
      <c r="R33" s="119">
        <f>SUM(云游戏分月测算明细!B44:F44)</f>
        <v>15.62</v>
      </c>
      <c r="S33" s="120"/>
      <c r="T33" s="119">
        <f>SUM(云游戏分月测算明细!G44:R44)</f>
        <v>46.86</v>
      </c>
      <c r="U33" s="120"/>
      <c r="V33" s="119">
        <f>SUM(云游戏分月测算明细!S44:U44)</f>
        <v>3.905</v>
      </c>
      <c r="W33" s="120"/>
      <c r="X33" s="106">
        <f t="shared" si="15"/>
        <v>66.385</v>
      </c>
    </row>
    <row r="34" spans="2:24">
      <c r="B34" s="105" t="s">
        <v>16</v>
      </c>
      <c r="C34" s="105"/>
      <c r="D34" s="105"/>
      <c r="E34" s="105"/>
      <c r="F34" s="119">
        <f>SUM(云游戏分月测算明细!B32:F32)</f>
        <v>2.4</v>
      </c>
      <c r="G34" s="120"/>
      <c r="H34" s="119">
        <f>SUM(云游戏分月测算明细!G32:R32)</f>
        <v>7.2</v>
      </c>
      <c r="I34" s="120"/>
      <c r="J34" s="119">
        <f>SUM(云游戏分月测算明细!S32:U32)</f>
        <v>0.6</v>
      </c>
      <c r="K34" s="120"/>
      <c r="L34" s="106">
        <f t="shared" si="13"/>
        <v>10.2</v>
      </c>
      <c r="N34" s="105" t="s">
        <v>16</v>
      </c>
      <c r="O34" s="105"/>
      <c r="P34" s="105"/>
      <c r="Q34" s="105"/>
      <c r="R34" s="119">
        <f>SUM(云游戏分月测算明细!B45:F45)</f>
        <v>2.4</v>
      </c>
      <c r="S34" s="120"/>
      <c r="T34" s="119">
        <f>SUM(云游戏分月测算明细!G45:R45)</f>
        <v>7.2</v>
      </c>
      <c r="U34" s="120"/>
      <c r="V34" s="119">
        <f>SUM(云游戏分月测算明细!S45:U45)</f>
        <v>0.6</v>
      </c>
      <c r="W34" s="120"/>
      <c r="X34" s="106">
        <f t="shared" si="15"/>
        <v>10.2</v>
      </c>
    </row>
    <row r="35" spans="2:24">
      <c r="B35" s="105" t="s">
        <v>17</v>
      </c>
      <c r="C35" s="105"/>
      <c r="D35" s="105"/>
      <c r="E35" s="105"/>
      <c r="F35" s="119">
        <f>SUM(云游戏分月测算明细!B33:F33)</f>
        <v>22</v>
      </c>
      <c r="G35" s="120"/>
      <c r="H35" s="119">
        <f>SUM(云游戏分月测算明细!G33:R33)</f>
        <v>12</v>
      </c>
      <c r="I35" s="120"/>
      <c r="J35" s="119">
        <f>SUM(云游戏分月测算明细!S33:U33)</f>
        <v>0</v>
      </c>
      <c r="K35" s="120"/>
      <c r="L35" s="106">
        <f t="shared" si="13"/>
        <v>34</v>
      </c>
      <c r="N35" s="105" t="s">
        <v>17</v>
      </c>
      <c r="O35" s="105"/>
      <c r="P35" s="105"/>
      <c r="Q35" s="105"/>
      <c r="R35" s="119">
        <f>SUM(云游戏分月测算明细!B46:F46)</f>
        <v>22</v>
      </c>
      <c r="S35" s="120"/>
      <c r="T35" s="119">
        <f>SUM(云游戏分月测算明细!G46:R46)</f>
        <v>12</v>
      </c>
      <c r="U35" s="120"/>
      <c r="V35" s="119">
        <f>SUM(云游戏分月测算明细!S46:U46)</f>
        <v>0</v>
      </c>
      <c r="W35" s="120"/>
      <c r="X35" s="106">
        <f t="shared" si="15"/>
        <v>34</v>
      </c>
    </row>
    <row r="36" spans="2:24">
      <c r="B36" s="105" t="s">
        <v>18</v>
      </c>
      <c r="C36" s="105"/>
      <c r="D36" s="105"/>
      <c r="E36" s="105"/>
      <c r="F36" s="119">
        <f>SUM(云游戏分月测算明细!B34:F34)</f>
        <v>3.3</v>
      </c>
      <c r="G36" s="120"/>
      <c r="H36" s="119">
        <f>SUM(云游戏分月测算明细!G34:R34)</f>
        <v>1.8</v>
      </c>
      <c r="I36" s="120"/>
      <c r="J36" s="119">
        <f>SUM(云游戏分月测算明细!S34:U34)</f>
        <v>0</v>
      </c>
      <c r="K36" s="120"/>
      <c r="L36" s="106">
        <f t="shared" si="13"/>
        <v>5.1</v>
      </c>
      <c r="N36" s="105" t="s">
        <v>18</v>
      </c>
      <c r="O36" s="105"/>
      <c r="P36" s="105"/>
      <c r="Q36" s="105"/>
      <c r="R36" s="119">
        <f>SUM(云游戏分月测算明细!B47:F47)</f>
        <v>3.3</v>
      </c>
      <c r="S36" s="120"/>
      <c r="T36" s="119">
        <f>SUM(云游戏分月测算明细!G47:R47)</f>
        <v>1.8</v>
      </c>
      <c r="U36" s="120"/>
      <c r="V36" s="119">
        <f>SUM(云游戏分月测算明细!S47:U47)</f>
        <v>0</v>
      </c>
      <c r="W36" s="120"/>
      <c r="X36" s="106">
        <f t="shared" si="15"/>
        <v>5.1</v>
      </c>
    </row>
    <row r="37" spans="2:24">
      <c r="B37" s="105" t="s">
        <v>19</v>
      </c>
      <c r="C37" s="105"/>
      <c r="D37" s="105"/>
      <c r="E37" s="105"/>
      <c r="F37" s="119">
        <f>SUM(云游戏分月测算明细!B35:F35)</f>
        <v>12.53525</v>
      </c>
      <c r="G37" s="120"/>
      <c r="H37" s="119">
        <f>SUM(云游戏分月测算明细!G35:R35)</f>
        <v>52.2522</v>
      </c>
      <c r="I37" s="120"/>
      <c r="J37" s="119">
        <f>SUM(云游戏分月测算明细!S35:U35)</f>
        <v>13.06305</v>
      </c>
      <c r="K37" s="120"/>
      <c r="L37" s="106">
        <f t="shared" si="13"/>
        <v>77.8505</v>
      </c>
      <c r="N37" s="105" t="s">
        <v>19</v>
      </c>
      <c r="O37" s="105"/>
      <c r="P37" s="105"/>
      <c r="Q37" s="105"/>
      <c r="R37" s="119">
        <f>SUM(云游戏分月测算明细!B48:F48)</f>
        <v>7.31025</v>
      </c>
      <c r="S37" s="120"/>
      <c r="T37" s="119">
        <f>SUM(云游戏分月测算明细!G48:R48)</f>
        <v>30.4722</v>
      </c>
      <c r="U37" s="120"/>
      <c r="V37" s="119">
        <f>SUM(云游戏分月测算明细!S48:U48)</f>
        <v>7.61805</v>
      </c>
      <c r="W37" s="120"/>
      <c r="X37" s="106">
        <f t="shared" si="15"/>
        <v>45.4005</v>
      </c>
    </row>
    <row r="38" spans="2:24">
      <c r="B38" s="107" t="s">
        <v>31</v>
      </c>
      <c r="C38" s="107"/>
      <c r="D38" s="107"/>
      <c r="E38" s="107"/>
      <c r="F38" s="121">
        <f t="shared" ref="F38:K38" si="20">F29-F32</f>
        <v>-5.85524999999999</v>
      </c>
      <c r="G38" s="122"/>
      <c r="H38" s="123">
        <f t="shared" si="20"/>
        <v>179.8878</v>
      </c>
      <c r="I38" s="124">
        <f t="shared" si="20"/>
        <v>0</v>
      </c>
      <c r="J38" s="123">
        <f t="shared" si="20"/>
        <v>57.43195</v>
      </c>
      <c r="K38" s="124">
        <f t="shared" si="20"/>
        <v>0</v>
      </c>
      <c r="L38" s="96">
        <f t="shared" si="13"/>
        <v>231.4645</v>
      </c>
      <c r="N38" s="107" t="s">
        <v>31</v>
      </c>
      <c r="O38" s="107"/>
      <c r="P38" s="107"/>
      <c r="Q38" s="107"/>
      <c r="R38" s="121">
        <f t="shared" ref="R38:W38" si="21">R29-R32</f>
        <v>-0.63024999999999</v>
      </c>
      <c r="S38" s="122"/>
      <c r="T38" s="123">
        <f t="shared" si="21"/>
        <v>201.6678</v>
      </c>
      <c r="U38" s="124">
        <f t="shared" si="21"/>
        <v>0</v>
      </c>
      <c r="V38" s="123">
        <f t="shared" si="21"/>
        <v>62.87695</v>
      </c>
      <c r="W38" s="124">
        <f t="shared" si="21"/>
        <v>0</v>
      </c>
      <c r="X38" s="96">
        <f t="shared" si="15"/>
        <v>263.9145</v>
      </c>
    </row>
  </sheetData>
  <mergeCells count="120">
    <mergeCell ref="F13:H13"/>
    <mergeCell ref="I13:K13"/>
    <mergeCell ref="R13:T13"/>
    <mergeCell ref="U13:W13"/>
    <mergeCell ref="B15:E15"/>
    <mergeCell ref="N15:Q15"/>
    <mergeCell ref="B16:E16"/>
    <mergeCell ref="N16:Q16"/>
    <mergeCell ref="B17:E17"/>
    <mergeCell ref="N17:Q17"/>
    <mergeCell ref="B18:E18"/>
    <mergeCell ref="N18:Q18"/>
    <mergeCell ref="B19:E19"/>
    <mergeCell ref="N19:Q19"/>
    <mergeCell ref="B20:E20"/>
    <mergeCell ref="N20:Q20"/>
    <mergeCell ref="B21:E21"/>
    <mergeCell ref="N21:Q21"/>
    <mergeCell ref="B22:E22"/>
    <mergeCell ref="N22:Q22"/>
    <mergeCell ref="B23:E23"/>
    <mergeCell ref="N23:Q23"/>
    <mergeCell ref="B24:E24"/>
    <mergeCell ref="N24:Q24"/>
    <mergeCell ref="B29:E29"/>
    <mergeCell ref="F29:G29"/>
    <mergeCell ref="H29:I29"/>
    <mergeCell ref="J29:K29"/>
    <mergeCell ref="N29:Q29"/>
    <mergeCell ref="R29:S29"/>
    <mergeCell ref="T29:U29"/>
    <mergeCell ref="V29:W29"/>
    <mergeCell ref="B30:E30"/>
    <mergeCell ref="F30:G30"/>
    <mergeCell ref="H30:I30"/>
    <mergeCell ref="J30:K30"/>
    <mergeCell ref="N30:Q30"/>
    <mergeCell ref="R30:S30"/>
    <mergeCell ref="T30:U30"/>
    <mergeCell ref="V30:W30"/>
    <mergeCell ref="B31:E31"/>
    <mergeCell ref="F31:G31"/>
    <mergeCell ref="H31:I31"/>
    <mergeCell ref="J31:K31"/>
    <mergeCell ref="N31:Q31"/>
    <mergeCell ref="R31:S31"/>
    <mergeCell ref="T31:U31"/>
    <mergeCell ref="V31:W31"/>
    <mergeCell ref="B32:E32"/>
    <mergeCell ref="F32:G32"/>
    <mergeCell ref="H32:I32"/>
    <mergeCell ref="J32:K32"/>
    <mergeCell ref="N32:Q32"/>
    <mergeCell ref="R32:S32"/>
    <mergeCell ref="T32:U32"/>
    <mergeCell ref="V32:W32"/>
    <mergeCell ref="B33:E33"/>
    <mergeCell ref="F33:G33"/>
    <mergeCell ref="H33:I33"/>
    <mergeCell ref="J33:K33"/>
    <mergeCell ref="N33:Q33"/>
    <mergeCell ref="R33:S33"/>
    <mergeCell ref="T33:U33"/>
    <mergeCell ref="V33:W33"/>
    <mergeCell ref="B34:E34"/>
    <mergeCell ref="F34:G34"/>
    <mergeCell ref="H34:I34"/>
    <mergeCell ref="J34:K34"/>
    <mergeCell ref="N34:Q34"/>
    <mergeCell ref="R34:S34"/>
    <mergeCell ref="T34:U34"/>
    <mergeCell ref="V34:W34"/>
    <mergeCell ref="B35:E35"/>
    <mergeCell ref="F35:G35"/>
    <mergeCell ref="H35:I35"/>
    <mergeCell ref="J35:K35"/>
    <mergeCell ref="N35:Q35"/>
    <mergeCell ref="R35:S35"/>
    <mergeCell ref="T35:U35"/>
    <mergeCell ref="V35:W35"/>
    <mergeCell ref="B36:E36"/>
    <mergeCell ref="F36:G36"/>
    <mergeCell ref="H36:I36"/>
    <mergeCell ref="J36:K36"/>
    <mergeCell ref="N36:Q36"/>
    <mergeCell ref="R36:S36"/>
    <mergeCell ref="T36:U36"/>
    <mergeCell ref="V36:W36"/>
    <mergeCell ref="B37:E37"/>
    <mergeCell ref="F37:G37"/>
    <mergeCell ref="H37:I37"/>
    <mergeCell ref="J37:K37"/>
    <mergeCell ref="N37:Q37"/>
    <mergeCell ref="R37:S37"/>
    <mergeCell ref="T37:U37"/>
    <mergeCell ref="V37:W37"/>
    <mergeCell ref="B38:E38"/>
    <mergeCell ref="F38:G38"/>
    <mergeCell ref="H38:I38"/>
    <mergeCell ref="J38:K38"/>
    <mergeCell ref="N38:Q38"/>
    <mergeCell ref="R38:S38"/>
    <mergeCell ref="T38:U38"/>
    <mergeCell ref="V38:W38"/>
    <mergeCell ref="L13:L14"/>
    <mergeCell ref="L27:L28"/>
    <mergeCell ref="X13:X14"/>
    <mergeCell ref="X27:X28"/>
    <mergeCell ref="B13:E14"/>
    <mergeCell ref="N13:Q14"/>
    <mergeCell ref="B27:E28"/>
    <mergeCell ref="N27:Q28"/>
    <mergeCell ref="F27:G28"/>
    <mergeCell ref="H27:I28"/>
    <mergeCell ref="J27:K28"/>
    <mergeCell ref="R27:S28"/>
    <mergeCell ref="T27:U28"/>
    <mergeCell ref="V27:W28"/>
    <mergeCell ref="B2:X6"/>
    <mergeCell ref="B8:X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49"/>
  <sheetViews>
    <sheetView showGridLines="0" topLeftCell="A19" workbookViewId="0">
      <selection activeCell="B49" sqref="B49:F49"/>
    </sheetView>
  </sheetViews>
  <sheetFormatPr defaultColWidth="8.89166666666667" defaultRowHeight="16.5"/>
  <cols>
    <col min="1" max="1" width="22.5" style="45" customWidth="1"/>
    <col min="2" max="2" width="14.625" style="45" customWidth="1"/>
    <col min="3" max="22" width="11.6666666666667" style="45" customWidth="1"/>
    <col min="23" max="16384" width="8.89166666666667" style="45"/>
  </cols>
  <sheetData>
    <row r="1" s="45" customFormat="1" ht="30" customHeight="1" spans="1:19">
      <c r="A1" s="47" t="s">
        <v>32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 t="s">
        <v>3</v>
      </c>
    </row>
    <row r="2" s="45" customFormat="1" spans="1:19">
      <c r="A2" s="49" t="s">
        <v>5</v>
      </c>
      <c r="B2" s="50">
        <v>46235</v>
      </c>
      <c r="C2" s="50">
        <v>46267</v>
      </c>
      <c r="D2" s="50">
        <v>46299</v>
      </c>
      <c r="E2" s="50">
        <v>46331</v>
      </c>
      <c r="F2" s="50">
        <v>46363</v>
      </c>
      <c r="G2" s="50">
        <v>46395</v>
      </c>
      <c r="H2" s="50">
        <v>46427</v>
      </c>
      <c r="I2" s="50">
        <v>46459</v>
      </c>
      <c r="J2" s="50">
        <v>46491</v>
      </c>
      <c r="K2" s="50">
        <v>46523</v>
      </c>
      <c r="L2" s="50">
        <v>46555</v>
      </c>
      <c r="M2" s="50">
        <v>46587</v>
      </c>
      <c r="N2" s="50">
        <v>46619</v>
      </c>
      <c r="O2" s="50">
        <v>46651</v>
      </c>
      <c r="P2" s="50">
        <v>46683</v>
      </c>
      <c r="Q2" s="50">
        <v>46715</v>
      </c>
      <c r="R2" s="50">
        <v>46747</v>
      </c>
      <c r="S2" s="49" t="s">
        <v>8</v>
      </c>
    </row>
    <row r="3" s="45" customFormat="1" spans="1:19">
      <c r="A3" s="51" t="s">
        <v>12</v>
      </c>
      <c r="B3" s="52">
        <f>20/1.06</f>
        <v>18.8679245283019</v>
      </c>
      <c r="C3" s="52">
        <f t="shared" ref="C3:L3" si="0">20/1.06</f>
        <v>18.8679245283019</v>
      </c>
      <c r="D3" s="52">
        <f t="shared" si="0"/>
        <v>18.8679245283019</v>
      </c>
      <c r="E3" s="52">
        <f t="shared" si="0"/>
        <v>18.8679245283019</v>
      </c>
      <c r="F3" s="52">
        <f t="shared" si="0"/>
        <v>18.8679245283019</v>
      </c>
      <c r="G3" s="52">
        <f t="shared" si="0"/>
        <v>18.8679245283019</v>
      </c>
      <c r="H3" s="52">
        <f t="shared" si="0"/>
        <v>18.8679245283019</v>
      </c>
      <c r="I3" s="52">
        <f t="shared" si="0"/>
        <v>18.8679245283019</v>
      </c>
      <c r="J3" s="52">
        <f t="shared" si="0"/>
        <v>18.8679245283019</v>
      </c>
      <c r="K3" s="52">
        <f t="shared" si="0"/>
        <v>18.8679245283019</v>
      </c>
      <c r="L3" s="52">
        <f t="shared" si="0"/>
        <v>18.8679245283019</v>
      </c>
      <c r="M3" s="52">
        <f t="shared" ref="M3:R3" si="1">20/1.06</f>
        <v>18.8679245283019</v>
      </c>
      <c r="N3" s="52">
        <f t="shared" si="1"/>
        <v>18.8679245283019</v>
      </c>
      <c r="O3" s="52">
        <f t="shared" si="1"/>
        <v>18.8679245283019</v>
      </c>
      <c r="P3" s="52">
        <f t="shared" si="1"/>
        <v>18.8679245283019</v>
      </c>
      <c r="Q3" s="52">
        <f t="shared" si="1"/>
        <v>18.8679245283019</v>
      </c>
      <c r="R3" s="52">
        <f t="shared" si="1"/>
        <v>18.8679245283019</v>
      </c>
      <c r="S3" s="52">
        <f t="shared" ref="S3:S11" si="2">SUM(B3:R3)</f>
        <v>320.754716981132</v>
      </c>
    </row>
    <row r="4" s="45" customFormat="1" spans="1:19">
      <c r="A4" s="51" t="s">
        <v>14</v>
      </c>
      <c r="B4" s="52">
        <f>SUM(B5:B9)</f>
        <v>11.8944423200623</v>
      </c>
      <c r="C4" s="52">
        <f t="shared" ref="C4:R4" si="3">SUM(C5:C9)</f>
        <v>11.8872463200623</v>
      </c>
      <c r="D4" s="52">
        <f t="shared" si="3"/>
        <v>10.075058904968</v>
      </c>
      <c r="E4" s="52">
        <f t="shared" si="3"/>
        <v>10.067832904968</v>
      </c>
      <c r="F4" s="52">
        <f t="shared" si="3"/>
        <v>10.060589904968</v>
      </c>
      <c r="G4" s="52">
        <f t="shared" si="3"/>
        <v>10.053331904968</v>
      </c>
      <c r="H4" s="52">
        <f t="shared" si="3"/>
        <v>10.046058904968</v>
      </c>
      <c r="I4" s="52">
        <f t="shared" si="3"/>
        <v>10.038768904968</v>
      </c>
      <c r="J4" s="52">
        <f t="shared" si="3"/>
        <v>10.031463904968</v>
      </c>
      <c r="K4" s="52">
        <f t="shared" si="3"/>
        <v>10.024142904968</v>
      </c>
      <c r="L4" s="52">
        <f t="shared" si="3"/>
        <v>10.016806904968</v>
      </c>
      <c r="M4" s="52">
        <f t="shared" si="3"/>
        <v>10.009453904968</v>
      </c>
      <c r="N4" s="52">
        <f t="shared" si="3"/>
        <v>10.002085904968</v>
      </c>
      <c r="O4" s="52">
        <f t="shared" si="3"/>
        <v>9.99470090496798</v>
      </c>
      <c r="P4" s="52">
        <f t="shared" si="3"/>
        <v>9.98730090496798</v>
      </c>
      <c r="Q4" s="52">
        <f t="shared" si="3"/>
        <v>9.97988490496798</v>
      </c>
      <c r="R4" s="52">
        <f t="shared" si="3"/>
        <v>9.97211890496798</v>
      </c>
      <c r="S4" s="52">
        <f t="shared" si="2"/>
        <v>174.141289214644</v>
      </c>
    </row>
    <row r="5" s="45" customFormat="1" spans="1:19">
      <c r="A5" s="53" t="s">
        <v>15</v>
      </c>
      <c r="B5" s="54">
        <v>3.253529</v>
      </c>
      <c r="C5" s="54">
        <v>3.246333</v>
      </c>
      <c r="D5" s="54">
        <v>3.239122</v>
      </c>
      <c r="E5" s="54">
        <v>3.231896</v>
      </c>
      <c r="F5" s="54">
        <v>3.224653</v>
      </c>
      <c r="G5" s="54">
        <v>3.217395</v>
      </c>
      <c r="H5" s="54">
        <v>3.210122</v>
      </c>
      <c r="I5" s="54">
        <v>3.202832</v>
      </c>
      <c r="J5" s="54">
        <v>3.195527</v>
      </c>
      <c r="K5" s="54">
        <v>3.188206</v>
      </c>
      <c r="L5" s="54">
        <v>3.18087</v>
      </c>
      <c r="M5" s="54">
        <v>3.173517</v>
      </c>
      <c r="N5" s="54">
        <v>3.166149</v>
      </c>
      <c r="O5" s="54">
        <v>3.158764</v>
      </c>
      <c r="P5" s="54">
        <v>3.151364</v>
      </c>
      <c r="Q5" s="54">
        <v>3.143948</v>
      </c>
      <c r="R5" s="54">
        <v>3.136182</v>
      </c>
      <c r="S5" s="55">
        <f t="shared" si="2"/>
        <v>54.320409</v>
      </c>
    </row>
    <row r="6" s="45" customFormat="1" spans="1:19">
      <c r="A6" s="53" t="s">
        <v>16</v>
      </c>
      <c r="B6" s="54">
        <f>7.2/12/1.06</f>
        <v>0.566037735849057</v>
      </c>
      <c r="C6" s="54">
        <f t="shared" ref="C6:L6" si="4">7.2/12/1.06</f>
        <v>0.566037735849057</v>
      </c>
      <c r="D6" s="54">
        <f t="shared" si="4"/>
        <v>0.566037735849057</v>
      </c>
      <c r="E6" s="54">
        <f t="shared" si="4"/>
        <v>0.566037735849057</v>
      </c>
      <c r="F6" s="54">
        <f t="shared" si="4"/>
        <v>0.566037735849057</v>
      </c>
      <c r="G6" s="54">
        <f t="shared" si="4"/>
        <v>0.566037735849057</v>
      </c>
      <c r="H6" s="54">
        <f t="shared" si="4"/>
        <v>0.566037735849057</v>
      </c>
      <c r="I6" s="54">
        <f t="shared" si="4"/>
        <v>0.566037735849057</v>
      </c>
      <c r="J6" s="54">
        <f t="shared" si="4"/>
        <v>0.566037735849057</v>
      </c>
      <c r="K6" s="54">
        <f t="shared" si="4"/>
        <v>0.566037735849057</v>
      </c>
      <c r="L6" s="54">
        <f t="shared" si="4"/>
        <v>0.566037735849057</v>
      </c>
      <c r="M6" s="54">
        <f t="shared" ref="M6:R6" si="5">7.2/12/1.06</f>
        <v>0.566037735849057</v>
      </c>
      <c r="N6" s="54">
        <f t="shared" si="5"/>
        <v>0.566037735849057</v>
      </c>
      <c r="O6" s="54">
        <f t="shared" si="5"/>
        <v>0.566037735849057</v>
      </c>
      <c r="P6" s="54">
        <f t="shared" si="5"/>
        <v>0.566037735849057</v>
      </c>
      <c r="Q6" s="54">
        <f t="shared" si="5"/>
        <v>0.566037735849057</v>
      </c>
      <c r="R6" s="54">
        <f t="shared" si="5"/>
        <v>0.566037735849057</v>
      </c>
      <c r="S6" s="54">
        <f t="shared" si="2"/>
        <v>9.62264150943397</v>
      </c>
    </row>
    <row r="7" s="45" customFormat="1" spans="1:19">
      <c r="A7" s="53" t="s">
        <v>17</v>
      </c>
      <c r="B7" s="55">
        <f>2/1.06</f>
        <v>1.88679245283019</v>
      </c>
      <c r="C7" s="55">
        <f>2/1.06</f>
        <v>1.88679245283019</v>
      </c>
      <c r="D7" s="55">
        <f t="shared" ref="D7:R7" si="6">2/1.06</f>
        <v>1.88679245283019</v>
      </c>
      <c r="E7" s="55">
        <f t="shared" si="6"/>
        <v>1.88679245283019</v>
      </c>
      <c r="F7" s="55">
        <f t="shared" si="6"/>
        <v>1.88679245283019</v>
      </c>
      <c r="G7" s="55">
        <f t="shared" si="6"/>
        <v>1.88679245283019</v>
      </c>
      <c r="H7" s="55">
        <f t="shared" si="6"/>
        <v>1.88679245283019</v>
      </c>
      <c r="I7" s="55">
        <f t="shared" si="6"/>
        <v>1.88679245283019</v>
      </c>
      <c r="J7" s="55">
        <f t="shared" si="6"/>
        <v>1.88679245283019</v>
      </c>
      <c r="K7" s="55">
        <f t="shared" si="6"/>
        <v>1.88679245283019</v>
      </c>
      <c r="L7" s="55">
        <f t="shared" si="6"/>
        <v>1.88679245283019</v>
      </c>
      <c r="M7" s="55">
        <f t="shared" si="6"/>
        <v>1.88679245283019</v>
      </c>
      <c r="N7" s="55">
        <f t="shared" si="6"/>
        <v>1.88679245283019</v>
      </c>
      <c r="O7" s="55">
        <f t="shared" si="6"/>
        <v>1.88679245283019</v>
      </c>
      <c r="P7" s="55">
        <f t="shared" si="6"/>
        <v>1.88679245283019</v>
      </c>
      <c r="Q7" s="55">
        <f t="shared" si="6"/>
        <v>1.88679245283019</v>
      </c>
      <c r="R7" s="55">
        <f t="shared" si="6"/>
        <v>1.88679245283019</v>
      </c>
      <c r="S7" s="54">
        <f t="shared" si="2"/>
        <v>32.0754716981132</v>
      </c>
    </row>
    <row r="8" s="45" customFormat="1" spans="1:19">
      <c r="A8" s="53" t="s">
        <v>18</v>
      </c>
      <c r="B8" s="54">
        <f>0.3/1.09</f>
        <v>0.275229357798165</v>
      </c>
      <c r="C8" s="54">
        <f>0.3/1.09</f>
        <v>0.275229357798165</v>
      </c>
      <c r="D8" s="54">
        <f t="shared" ref="D8:R8" si="7">0.3/1.09</f>
        <v>0.275229357798165</v>
      </c>
      <c r="E8" s="54">
        <f t="shared" si="7"/>
        <v>0.275229357798165</v>
      </c>
      <c r="F8" s="54">
        <f t="shared" si="7"/>
        <v>0.275229357798165</v>
      </c>
      <c r="G8" s="54">
        <f t="shared" si="7"/>
        <v>0.275229357798165</v>
      </c>
      <c r="H8" s="54">
        <f t="shared" si="7"/>
        <v>0.275229357798165</v>
      </c>
      <c r="I8" s="54">
        <f t="shared" si="7"/>
        <v>0.275229357798165</v>
      </c>
      <c r="J8" s="54">
        <f t="shared" si="7"/>
        <v>0.275229357798165</v>
      </c>
      <c r="K8" s="54">
        <f t="shared" si="7"/>
        <v>0.275229357798165</v>
      </c>
      <c r="L8" s="54">
        <f t="shared" si="7"/>
        <v>0.275229357798165</v>
      </c>
      <c r="M8" s="54">
        <f t="shared" si="7"/>
        <v>0.275229357798165</v>
      </c>
      <c r="N8" s="54">
        <f t="shared" si="7"/>
        <v>0.275229357798165</v>
      </c>
      <c r="O8" s="54">
        <f t="shared" si="7"/>
        <v>0.275229357798165</v>
      </c>
      <c r="P8" s="54">
        <f t="shared" si="7"/>
        <v>0.275229357798165</v>
      </c>
      <c r="Q8" s="54">
        <f t="shared" si="7"/>
        <v>0.275229357798165</v>
      </c>
      <c r="R8" s="54">
        <f t="shared" si="7"/>
        <v>0.275229357798165</v>
      </c>
      <c r="S8" s="54">
        <f t="shared" si="2"/>
        <v>4.67889908256881</v>
      </c>
    </row>
    <row r="9" s="45" customFormat="1" spans="1:19">
      <c r="A9" s="56" t="s">
        <v>19</v>
      </c>
      <c r="B9" s="55">
        <f>云游戏CP分成明细!C8/1.06</f>
        <v>5.9128537735849</v>
      </c>
      <c r="C9" s="55">
        <f>云游戏CP分成明细!D8/1.06</f>
        <v>5.9128537735849</v>
      </c>
      <c r="D9" s="55">
        <f>云游戏CP分成明细!E8/1.06</f>
        <v>4.10787735849057</v>
      </c>
      <c r="E9" s="55">
        <f>云游戏CP分成明细!F8/1.06</f>
        <v>4.10787735849057</v>
      </c>
      <c r="F9" s="55">
        <f>云游戏CP分成明细!G8/1.06</f>
        <v>4.10787735849057</v>
      </c>
      <c r="G9" s="55">
        <f>云游戏CP分成明细!H8/1.06</f>
        <v>4.10787735849057</v>
      </c>
      <c r="H9" s="55">
        <f>云游戏CP分成明细!I8/1.06</f>
        <v>4.10787735849057</v>
      </c>
      <c r="I9" s="55">
        <f>云游戏CP分成明细!J8/1.06</f>
        <v>4.10787735849057</v>
      </c>
      <c r="J9" s="55">
        <f>云游戏CP分成明细!K8/1.06</f>
        <v>4.10787735849057</v>
      </c>
      <c r="K9" s="55">
        <f>云游戏CP分成明细!L8/1.06</f>
        <v>4.10787735849057</v>
      </c>
      <c r="L9" s="55">
        <f>云游戏CP分成明细!M8/1.06</f>
        <v>4.10787735849057</v>
      </c>
      <c r="M9" s="55">
        <f>云游戏CP分成明细!N8/1.06</f>
        <v>4.10787735849057</v>
      </c>
      <c r="N9" s="55">
        <f>云游戏CP分成明细!O8/1.06</f>
        <v>4.10787735849057</v>
      </c>
      <c r="O9" s="55">
        <f>云游戏CP分成明细!P8/1.06</f>
        <v>4.10787735849057</v>
      </c>
      <c r="P9" s="55">
        <f>云游戏CP分成明细!Q8/1.06</f>
        <v>4.10787735849057</v>
      </c>
      <c r="Q9" s="55">
        <f>云游戏CP分成明细!R8/1.06</f>
        <v>4.10787735849057</v>
      </c>
      <c r="R9" s="55">
        <f>云游戏CP分成明细!S8/1.06</f>
        <v>4.10787735849057</v>
      </c>
      <c r="S9" s="55">
        <f t="shared" si="2"/>
        <v>73.4438679245283</v>
      </c>
    </row>
    <row r="10" s="45" customFormat="1" spans="1:19">
      <c r="A10" s="51" t="s">
        <v>20</v>
      </c>
      <c r="B10" s="52">
        <f>B3-B4</f>
        <v>6.97348220823958</v>
      </c>
      <c r="C10" s="52">
        <f t="shared" ref="C10:S10" si="8">C3-C4</f>
        <v>6.98067820823958</v>
      </c>
      <c r="D10" s="52">
        <f t="shared" si="8"/>
        <v>8.79286562333392</v>
      </c>
      <c r="E10" s="52">
        <f t="shared" si="8"/>
        <v>8.80009162333392</v>
      </c>
      <c r="F10" s="52">
        <f t="shared" si="8"/>
        <v>8.80733462333392</v>
      </c>
      <c r="G10" s="52">
        <f t="shared" si="8"/>
        <v>8.81459262333392</v>
      </c>
      <c r="H10" s="52">
        <f t="shared" si="8"/>
        <v>8.82186562333392</v>
      </c>
      <c r="I10" s="52">
        <f t="shared" si="8"/>
        <v>8.82915562333392</v>
      </c>
      <c r="J10" s="52">
        <f t="shared" si="8"/>
        <v>8.83646062333392</v>
      </c>
      <c r="K10" s="52">
        <f t="shared" si="8"/>
        <v>8.84378162333392</v>
      </c>
      <c r="L10" s="52">
        <f t="shared" si="8"/>
        <v>8.85111762333392</v>
      </c>
      <c r="M10" s="52">
        <f t="shared" si="8"/>
        <v>8.85847062333392</v>
      </c>
      <c r="N10" s="52">
        <f t="shared" si="8"/>
        <v>8.86583862333392</v>
      </c>
      <c r="O10" s="52">
        <f t="shared" si="8"/>
        <v>8.87322362333392</v>
      </c>
      <c r="P10" s="52">
        <f t="shared" si="8"/>
        <v>8.88062362333392</v>
      </c>
      <c r="Q10" s="52">
        <f t="shared" si="8"/>
        <v>8.88803962333392</v>
      </c>
      <c r="R10" s="52">
        <f t="shared" si="8"/>
        <v>8.89580562333392</v>
      </c>
      <c r="S10" s="52">
        <f t="shared" si="2"/>
        <v>146.613427766488</v>
      </c>
    </row>
    <row r="11" s="45" customFormat="1" spans="1:19">
      <c r="A11" s="51" t="s">
        <v>21</v>
      </c>
      <c r="B11" s="57">
        <f>B10/B3</f>
        <v>0.369594557036698</v>
      </c>
      <c r="C11" s="57">
        <f t="shared" ref="C11:S11" si="9">C10/C3</f>
        <v>0.369975945036698</v>
      </c>
      <c r="D11" s="57">
        <f t="shared" si="9"/>
        <v>0.466021878036698</v>
      </c>
      <c r="E11" s="57">
        <f t="shared" si="9"/>
        <v>0.466404856036698</v>
      </c>
      <c r="F11" s="57">
        <f t="shared" si="9"/>
        <v>0.466788735036698</v>
      </c>
      <c r="G11" s="57">
        <f t="shared" si="9"/>
        <v>0.467173409036698</v>
      </c>
      <c r="H11" s="57">
        <f t="shared" si="9"/>
        <v>0.467558878036698</v>
      </c>
      <c r="I11" s="57">
        <f t="shared" si="9"/>
        <v>0.467945248036698</v>
      </c>
      <c r="J11" s="57">
        <f t="shared" si="9"/>
        <v>0.468332413036698</v>
      </c>
      <c r="K11" s="57">
        <f t="shared" si="9"/>
        <v>0.468720426036698</v>
      </c>
      <c r="L11" s="57">
        <f t="shared" si="9"/>
        <v>0.469109234036698</v>
      </c>
      <c r="M11" s="57">
        <f t="shared" si="9"/>
        <v>0.469498943036698</v>
      </c>
      <c r="N11" s="57">
        <f t="shared" si="9"/>
        <v>0.469889447036698</v>
      </c>
      <c r="O11" s="57">
        <f t="shared" si="9"/>
        <v>0.470280852036698</v>
      </c>
      <c r="P11" s="57">
        <f t="shared" si="9"/>
        <v>0.470673052036698</v>
      </c>
      <c r="Q11" s="57">
        <f t="shared" si="9"/>
        <v>0.471066100036698</v>
      </c>
      <c r="R11" s="57">
        <f t="shared" si="9"/>
        <v>0.471477698036698</v>
      </c>
      <c r="S11" s="57">
        <f t="shared" si="9"/>
        <v>0.457088921860227</v>
      </c>
    </row>
    <row r="12" s="45" customFormat="1" ht="24" customHeight="1" spans="1:19"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9"/>
    </row>
    <row r="13" s="45" customFormat="1" ht="30" customHeight="1" spans="1:19">
      <c r="A13" s="60" t="s">
        <v>33</v>
      </c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1" t="s">
        <v>3</v>
      </c>
    </row>
    <row r="14" s="45" customFormat="1" spans="1:19">
      <c r="A14" s="62" t="s">
        <v>5</v>
      </c>
      <c r="B14" s="63">
        <v>46235</v>
      </c>
      <c r="C14" s="63">
        <v>46267</v>
      </c>
      <c r="D14" s="63">
        <v>46299</v>
      </c>
      <c r="E14" s="63">
        <v>46331</v>
      </c>
      <c r="F14" s="63">
        <v>46363</v>
      </c>
      <c r="G14" s="63">
        <v>46395</v>
      </c>
      <c r="H14" s="63">
        <v>46427</v>
      </c>
      <c r="I14" s="63">
        <v>46459</v>
      </c>
      <c r="J14" s="63">
        <v>46491</v>
      </c>
      <c r="K14" s="63">
        <v>46523</v>
      </c>
      <c r="L14" s="63">
        <v>46555</v>
      </c>
      <c r="M14" s="63">
        <v>46587</v>
      </c>
      <c r="N14" s="63">
        <v>46619</v>
      </c>
      <c r="O14" s="63">
        <v>46651</v>
      </c>
      <c r="P14" s="63">
        <v>46683</v>
      </c>
      <c r="Q14" s="63">
        <v>46715</v>
      </c>
      <c r="R14" s="63">
        <v>46747</v>
      </c>
      <c r="S14" s="62" t="s">
        <v>8</v>
      </c>
    </row>
    <row r="15" s="45" customFormat="1" spans="1:19">
      <c r="A15" s="51" t="s">
        <v>12</v>
      </c>
      <c r="B15" s="52">
        <f t="shared" ref="B15:R15" si="10">20/1.06</f>
        <v>18.8679245283019</v>
      </c>
      <c r="C15" s="52">
        <f t="shared" si="10"/>
        <v>18.8679245283019</v>
      </c>
      <c r="D15" s="52">
        <f t="shared" si="10"/>
        <v>18.8679245283019</v>
      </c>
      <c r="E15" s="52">
        <f t="shared" si="10"/>
        <v>18.8679245283019</v>
      </c>
      <c r="F15" s="52">
        <f t="shared" si="10"/>
        <v>18.8679245283019</v>
      </c>
      <c r="G15" s="52">
        <f t="shared" si="10"/>
        <v>18.8679245283019</v>
      </c>
      <c r="H15" s="52">
        <f t="shared" si="10"/>
        <v>18.8679245283019</v>
      </c>
      <c r="I15" s="52">
        <f t="shared" si="10"/>
        <v>18.8679245283019</v>
      </c>
      <c r="J15" s="52">
        <f t="shared" si="10"/>
        <v>18.8679245283019</v>
      </c>
      <c r="K15" s="52">
        <f t="shared" si="10"/>
        <v>18.8679245283019</v>
      </c>
      <c r="L15" s="52">
        <f t="shared" si="10"/>
        <v>18.8679245283019</v>
      </c>
      <c r="M15" s="52">
        <f t="shared" si="10"/>
        <v>18.8679245283019</v>
      </c>
      <c r="N15" s="52">
        <f t="shared" si="10"/>
        <v>18.8679245283019</v>
      </c>
      <c r="O15" s="52">
        <f t="shared" si="10"/>
        <v>18.8679245283019</v>
      </c>
      <c r="P15" s="52">
        <f t="shared" si="10"/>
        <v>18.8679245283019</v>
      </c>
      <c r="Q15" s="52">
        <f t="shared" si="10"/>
        <v>18.8679245283019</v>
      </c>
      <c r="R15" s="52">
        <f t="shared" si="10"/>
        <v>18.8679245283019</v>
      </c>
      <c r="S15" s="52">
        <f t="shared" ref="S15:S22" si="11">SUM(B15:R15)</f>
        <v>320.754716981132</v>
      </c>
    </row>
    <row r="16" s="45" customFormat="1" spans="1:19">
      <c r="A16" s="51" t="s">
        <v>14</v>
      </c>
      <c r="B16" s="52">
        <f>SUM(B17:B21)</f>
        <v>9.42981967855288</v>
      </c>
      <c r="C16" s="52">
        <f t="shared" ref="B16:R16" si="12">SUM(C17:C21)</f>
        <v>9.42262367855288</v>
      </c>
      <c r="D16" s="52">
        <f t="shared" si="12"/>
        <v>8.36279475402458</v>
      </c>
      <c r="E16" s="52">
        <f t="shared" si="12"/>
        <v>8.35556875402458</v>
      </c>
      <c r="F16" s="52">
        <f t="shared" si="12"/>
        <v>8.34832575402458</v>
      </c>
      <c r="G16" s="52">
        <f t="shared" si="12"/>
        <v>8.34106775402458</v>
      </c>
      <c r="H16" s="52">
        <f t="shared" si="12"/>
        <v>8.33379475402458</v>
      </c>
      <c r="I16" s="52">
        <f t="shared" si="12"/>
        <v>8.32650475402458</v>
      </c>
      <c r="J16" s="52">
        <f t="shared" si="12"/>
        <v>8.31919975402458</v>
      </c>
      <c r="K16" s="52">
        <f t="shared" si="12"/>
        <v>8.31187875402458</v>
      </c>
      <c r="L16" s="52">
        <f t="shared" si="12"/>
        <v>8.30454275402458</v>
      </c>
      <c r="M16" s="52">
        <f t="shared" si="12"/>
        <v>8.29718975402458</v>
      </c>
      <c r="N16" s="52">
        <f t="shared" si="12"/>
        <v>8.28982175402458</v>
      </c>
      <c r="O16" s="52">
        <f t="shared" si="12"/>
        <v>8.28243675402458</v>
      </c>
      <c r="P16" s="52">
        <f t="shared" si="12"/>
        <v>8.27503675402458</v>
      </c>
      <c r="Q16" s="52">
        <f t="shared" si="12"/>
        <v>8.26762075402458</v>
      </c>
      <c r="R16" s="52">
        <f t="shared" si="12"/>
        <v>8.25985475402458</v>
      </c>
      <c r="S16" s="52">
        <f t="shared" si="11"/>
        <v>143.528081667474</v>
      </c>
    </row>
    <row r="17" s="45" customFormat="1" spans="1:22">
      <c r="A17" s="53" t="s">
        <v>15</v>
      </c>
      <c r="B17" s="54">
        <v>3.253529</v>
      </c>
      <c r="C17" s="54">
        <v>3.246333</v>
      </c>
      <c r="D17" s="54">
        <v>3.239122</v>
      </c>
      <c r="E17" s="54">
        <v>3.231896</v>
      </c>
      <c r="F17" s="54">
        <v>3.224653</v>
      </c>
      <c r="G17" s="54">
        <v>3.217395</v>
      </c>
      <c r="H17" s="54">
        <v>3.210122</v>
      </c>
      <c r="I17" s="54">
        <v>3.202832</v>
      </c>
      <c r="J17" s="54">
        <v>3.195527</v>
      </c>
      <c r="K17" s="54">
        <v>3.188206</v>
      </c>
      <c r="L17" s="54">
        <v>3.18087</v>
      </c>
      <c r="M17" s="54">
        <v>3.173517</v>
      </c>
      <c r="N17" s="54">
        <v>3.166149</v>
      </c>
      <c r="O17" s="54">
        <v>3.158764</v>
      </c>
      <c r="P17" s="54">
        <v>3.151364</v>
      </c>
      <c r="Q17" s="54">
        <v>3.143948</v>
      </c>
      <c r="R17" s="54">
        <v>3.136182</v>
      </c>
      <c r="S17" s="55">
        <f t="shared" si="11"/>
        <v>54.320409</v>
      </c>
    </row>
    <row r="18" s="45" customFormat="1" spans="1:22">
      <c r="A18" s="53" t="s">
        <v>16</v>
      </c>
      <c r="B18" s="54">
        <f t="shared" ref="B18:R18" si="13">7.2/12/1.06</f>
        <v>0.566037735849057</v>
      </c>
      <c r="C18" s="54">
        <f t="shared" si="13"/>
        <v>0.566037735849057</v>
      </c>
      <c r="D18" s="54">
        <f t="shared" si="13"/>
        <v>0.566037735849057</v>
      </c>
      <c r="E18" s="54">
        <f t="shared" si="13"/>
        <v>0.566037735849057</v>
      </c>
      <c r="F18" s="54">
        <f t="shared" si="13"/>
        <v>0.566037735849057</v>
      </c>
      <c r="G18" s="54">
        <f t="shared" si="13"/>
        <v>0.566037735849057</v>
      </c>
      <c r="H18" s="54">
        <f t="shared" si="13"/>
        <v>0.566037735849057</v>
      </c>
      <c r="I18" s="54">
        <f t="shared" si="13"/>
        <v>0.566037735849057</v>
      </c>
      <c r="J18" s="54">
        <f t="shared" si="13"/>
        <v>0.566037735849057</v>
      </c>
      <c r="K18" s="54">
        <f t="shared" si="13"/>
        <v>0.566037735849057</v>
      </c>
      <c r="L18" s="54">
        <f t="shared" si="13"/>
        <v>0.566037735849057</v>
      </c>
      <c r="M18" s="54">
        <f t="shared" si="13"/>
        <v>0.566037735849057</v>
      </c>
      <c r="N18" s="54">
        <f t="shared" si="13"/>
        <v>0.566037735849057</v>
      </c>
      <c r="O18" s="54">
        <f t="shared" si="13"/>
        <v>0.566037735849057</v>
      </c>
      <c r="P18" s="54">
        <f t="shared" si="13"/>
        <v>0.566037735849057</v>
      </c>
      <c r="Q18" s="54">
        <f t="shared" si="13"/>
        <v>0.566037735849057</v>
      </c>
      <c r="R18" s="54">
        <f t="shared" si="13"/>
        <v>0.566037735849057</v>
      </c>
      <c r="S18" s="54">
        <f t="shared" si="11"/>
        <v>9.62264150943397</v>
      </c>
    </row>
    <row r="19" s="45" customFormat="1" spans="1:22">
      <c r="A19" s="53" t="s">
        <v>17</v>
      </c>
      <c r="B19" s="55">
        <f t="shared" ref="B19:R19" si="14">2/1.06</f>
        <v>1.88679245283019</v>
      </c>
      <c r="C19" s="55">
        <f t="shared" si="14"/>
        <v>1.88679245283019</v>
      </c>
      <c r="D19" s="55">
        <f t="shared" si="14"/>
        <v>1.88679245283019</v>
      </c>
      <c r="E19" s="55">
        <f t="shared" si="14"/>
        <v>1.88679245283019</v>
      </c>
      <c r="F19" s="55">
        <f t="shared" si="14"/>
        <v>1.88679245283019</v>
      </c>
      <c r="G19" s="55">
        <f t="shared" si="14"/>
        <v>1.88679245283019</v>
      </c>
      <c r="H19" s="55">
        <f t="shared" si="14"/>
        <v>1.88679245283019</v>
      </c>
      <c r="I19" s="55">
        <f t="shared" si="14"/>
        <v>1.88679245283019</v>
      </c>
      <c r="J19" s="55">
        <f t="shared" si="14"/>
        <v>1.88679245283019</v>
      </c>
      <c r="K19" s="55">
        <f t="shared" si="14"/>
        <v>1.88679245283019</v>
      </c>
      <c r="L19" s="55">
        <f t="shared" si="14"/>
        <v>1.88679245283019</v>
      </c>
      <c r="M19" s="55">
        <f t="shared" si="14"/>
        <v>1.88679245283019</v>
      </c>
      <c r="N19" s="55">
        <f t="shared" si="14"/>
        <v>1.88679245283019</v>
      </c>
      <c r="O19" s="55">
        <f t="shared" si="14"/>
        <v>1.88679245283019</v>
      </c>
      <c r="P19" s="55">
        <f t="shared" si="14"/>
        <v>1.88679245283019</v>
      </c>
      <c r="Q19" s="55">
        <f t="shared" si="14"/>
        <v>1.88679245283019</v>
      </c>
      <c r="R19" s="55">
        <f t="shared" si="14"/>
        <v>1.88679245283019</v>
      </c>
      <c r="S19" s="54">
        <f t="shared" si="11"/>
        <v>32.0754716981132</v>
      </c>
    </row>
    <row r="20" s="45" customFormat="1" spans="1:22">
      <c r="A20" s="53" t="s">
        <v>18</v>
      </c>
      <c r="B20" s="54">
        <f t="shared" ref="B20:R20" si="15">0.3/1.09</f>
        <v>0.275229357798165</v>
      </c>
      <c r="C20" s="54">
        <f t="shared" si="15"/>
        <v>0.275229357798165</v>
      </c>
      <c r="D20" s="54">
        <f t="shared" si="15"/>
        <v>0.275229357798165</v>
      </c>
      <c r="E20" s="54">
        <f t="shared" si="15"/>
        <v>0.275229357798165</v>
      </c>
      <c r="F20" s="54">
        <f t="shared" si="15"/>
        <v>0.275229357798165</v>
      </c>
      <c r="G20" s="54">
        <f t="shared" si="15"/>
        <v>0.275229357798165</v>
      </c>
      <c r="H20" s="54">
        <f t="shared" si="15"/>
        <v>0.275229357798165</v>
      </c>
      <c r="I20" s="54">
        <f t="shared" si="15"/>
        <v>0.275229357798165</v>
      </c>
      <c r="J20" s="54">
        <f t="shared" si="15"/>
        <v>0.275229357798165</v>
      </c>
      <c r="K20" s="54">
        <f t="shared" si="15"/>
        <v>0.275229357798165</v>
      </c>
      <c r="L20" s="54">
        <f t="shared" si="15"/>
        <v>0.275229357798165</v>
      </c>
      <c r="M20" s="54">
        <f t="shared" si="15"/>
        <v>0.275229357798165</v>
      </c>
      <c r="N20" s="54">
        <f t="shared" si="15"/>
        <v>0.275229357798165</v>
      </c>
      <c r="O20" s="54">
        <f t="shared" si="15"/>
        <v>0.275229357798165</v>
      </c>
      <c r="P20" s="54">
        <f t="shared" si="15"/>
        <v>0.275229357798165</v>
      </c>
      <c r="Q20" s="54">
        <f t="shared" si="15"/>
        <v>0.275229357798165</v>
      </c>
      <c r="R20" s="54">
        <f t="shared" si="15"/>
        <v>0.275229357798165</v>
      </c>
      <c r="S20" s="54">
        <f t="shared" si="11"/>
        <v>4.67889908256881</v>
      </c>
    </row>
    <row r="21" s="45" customFormat="1" spans="1:22">
      <c r="A21" s="56" t="s">
        <v>19</v>
      </c>
      <c r="B21" s="55">
        <f>云游戏CP分成明细!C30/1.06</f>
        <v>3.44823113207547</v>
      </c>
      <c r="C21" s="55">
        <f>云游戏CP分成明细!D30/1.06</f>
        <v>3.44823113207547</v>
      </c>
      <c r="D21" s="55">
        <f>云游戏CP分成明细!E30/1.06</f>
        <v>2.39561320754717</v>
      </c>
      <c r="E21" s="55">
        <f>云游戏CP分成明细!F30/1.06</f>
        <v>2.39561320754717</v>
      </c>
      <c r="F21" s="55">
        <f>云游戏CP分成明细!G30/1.06</f>
        <v>2.39561320754717</v>
      </c>
      <c r="G21" s="55">
        <f>云游戏CP分成明细!H30/1.06</f>
        <v>2.39561320754717</v>
      </c>
      <c r="H21" s="55">
        <f>云游戏CP分成明细!I30/1.06</f>
        <v>2.39561320754717</v>
      </c>
      <c r="I21" s="55">
        <f>云游戏CP分成明细!J30/1.06</f>
        <v>2.39561320754717</v>
      </c>
      <c r="J21" s="55">
        <f>云游戏CP分成明细!K30/1.06</f>
        <v>2.39561320754717</v>
      </c>
      <c r="K21" s="55">
        <f>云游戏CP分成明细!L30/1.06</f>
        <v>2.39561320754717</v>
      </c>
      <c r="L21" s="55">
        <f>云游戏CP分成明细!M30/1.06</f>
        <v>2.39561320754717</v>
      </c>
      <c r="M21" s="55">
        <f>云游戏CP分成明细!N30/1.06</f>
        <v>2.39561320754717</v>
      </c>
      <c r="N21" s="55">
        <f>云游戏CP分成明细!O30/1.06</f>
        <v>2.39561320754717</v>
      </c>
      <c r="O21" s="55">
        <f>云游戏CP分成明细!P30/1.06</f>
        <v>2.39561320754717</v>
      </c>
      <c r="P21" s="55">
        <f>云游戏CP分成明细!Q30/1.06</f>
        <v>2.39561320754717</v>
      </c>
      <c r="Q21" s="55">
        <f>云游戏CP分成明细!R30/1.06</f>
        <v>2.39561320754717</v>
      </c>
      <c r="R21" s="55">
        <f>云游戏CP分成明细!S30/1.06</f>
        <v>2.39561320754717</v>
      </c>
      <c r="S21" s="55">
        <f t="shared" si="11"/>
        <v>42.8306603773585</v>
      </c>
    </row>
    <row r="22" s="45" customFormat="1" spans="1:22">
      <c r="A22" s="51" t="s">
        <v>20</v>
      </c>
      <c r="B22" s="52">
        <f t="shared" ref="B22:R22" si="16">B15-B16</f>
        <v>9.43810484974902</v>
      </c>
      <c r="C22" s="52">
        <f t="shared" si="16"/>
        <v>9.44530084974902</v>
      </c>
      <c r="D22" s="52">
        <f t="shared" si="16"/>
        <v>10.5051297742773</v>
      </c>
      <c r="E22" s="52">
        <f t="shared" si="16"/>
        <v>10.5123557742773</v>
      </c>
      <c r="F22" s="52">
        <f t="shared" si="16"/>
        <v>10.5195987742773</v>
      </c>
      <c r="G22" s="52">
        <f t="shared" si="16"/>
        <v>10.5268567742773</v>
      </c>
      <c r="H22" s="52">
        <f t="shared" si="16"/>
        <v>10.5341297742773</v>
      </c>
      <c r="I22" s="52">
        <f t="shared" si="16"/>
        <v>10.5414197742773</v>
      </c>
      <c r="J22" s="52">
        <f t="shared" si="16"/>
        <v>10.5487247742773</v>
      </c>
      <c r="K22" s="52">
        <f t="shared" si="16"/>
        <v>10.5560457742773</v>
      </c>
      <c r="L22" s="52">
        <f t="shared" si="16"/>
        <v>10.5633817742773</v>
      </c>
      <c r="M22" s="52">
        <f t="shared" si="16"/>
        <v>10.5707347742773</v>
      </c>
      <c r="N22" s="52">
        <f t="shared" si="16"/>
        <v>10.5781027742773</v>
      </c>
      <c r="O22" s="52">
        <f t="shared" si="16"/>
        <v>10.5854877742773</v>
      </c>
      <c r="P22" s="52">
        <f t="shared" si="16"/>
        <v>10.5928877742773</v>
      </c>
      <c r="Q22" s="52">
        <f t="shared" si="16"/>
        <v>10.6003037742773</v>
      </c>
      <c r="R22" s="52">
        <f t="shared" si="16"/>
        <v>10.6080697742773</v>
      </c>
      <c r="S22" s="52">
        <f t="shared" si="11"/>
        <v>177.226635313658</v>
      </c>
    </row>
    <row r="23" s="45" customFormat="1" spans="1:22">
      <c r="A23" s="51" t="s">
        <v>21</v>
      </c>
      <c r="B23" s="57">
        <f t="shared" ref="B23:S23" si="17">B22/B15</f>
        <v>0.500219557036698</v>
      </c>
      <c r="C23" s="57">
        <f t="shared" si="17"/>
        <v>0.500600945036698</v>
      </c>
      <c r="D23" s="57">
        <f t="shared" si="17"/>
        <v>0.556771878036697</v>
      </c>
      <c r="E23" s="57">
        <f t="shared" si="17"/>
        <v>0.557154856036698</v>
      </c>
      <c r="F23" s="57">
        <f t="shared" si="17"/>
        <v>0.557538735036697</v>
      </c>
      <c r="G23" s="57">
        <f t="shared" si="17"/>
        <v>0.557923409036698</v>
      </c>
      <c r="H23" s="57">
        <f t="shared" si="17"/>
        <v>0.558308878036697</v>
      </c>
      <c r="I23" s="57">
        <f t="shared" si="17"/>
        <v>0.558695248036698</v>
      </c>
      <c r="J23" s="57">
        <f t="shared" si="17"/>
        <v>0.559082413036697</v>
      </c>
      <c r="K23" s="57">
        <f t="shared" si="17"/>
        <v>0.559470426036697</v>
      </c>
      <c r="L23" s="57">
        <f t="shared" si="17"/>
        <v>0.559859234036697</v>
      </c>
      <c r="M23" s="57">
        <f t="shared" si="17"/>
        <v>0.560248943036697</v>
      </c>
      <c r="N23" s="57">
        <f t="shared" si="17"/>
        <v>0.560639447036697</v>
      </c>
      <c r="O23" s="57">
        <f t="shared" si="17"/>
        <v>0.561030852036698</v>
      </c>
      <c r="P23" s="57">
        <f t="shared" si="17"/>
        <v>0.561423052036698</v>
      </c>
      <c r="Q23" s="57">
        <f t="shared" si="17"/>
        <v>0.561816100036697</v>
      </c>
      <c r="R23" s="57">
        <f t="shared" si="17"/>
        <v>0.562227698036697</v>
      </c>
      <c r="S23" s="57">
        <f t="shared" si="17"/>
        <v>0.552530098330815</v>
      </c>
    </row>
    <row r="24" s="45" customFormat="1" spans="1:22">
      <c r="A24" s="64"/>
      <c r="B24" s="45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V24" s="65"/>
    </row>
    <row r="25" s="45" customFormat="1" ht="27" customHeight="1" spans="1:22">
      <c r="A25" s="60" t="s">
        <v>34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V25" s="61" t="s">
        <v>3</v>
      </c>
    </row>
    <row r="26" s="45" customFormat="1" spans="1:22">
      <c r="A26" s="62" t="s">
        <v>24</v>
      </c>
      <c r="B26" s="63">
        <v>46235</v>
      </c>
      <c r="C26" s="63">
        <v>46267</v>
      </c>
      <c r="D26" s="63">
        <v>46299</v>
      </c>
      <c r="E26" s="63">
        <v>46331</v>
      </c>
      <c r="F26" s="63">
        <v>46363</v>
      </c>
      <c r="G26" s="63">
        <v>46395</v>
      </c>
      <c r="H26" s="63">
        <v>46427</v>
      </c>
      <c r="I26" s="63">
        <v>46459</v>
      </c>
      <c r="J26" s="63">
        <v>46491</v>
      </c>
      <c r="K26" s="63">
        <v>46523</v>
      </c>
      <c r="L26" s="63">
        <v>46555</v>
      </c>
      <c r="M26" s="63">
        <v>46587</v>
      </c>
      <c r="N26" s="63">
        <v>46619</v>
      </c>
      <c r="O26" s="63">
        <v>46651</v>
      </c>
      <c r="P26" s="63">
        <v>46683</v>
      </c>
      <c r="Q26" s="63">
        <v>46715</v>
      </c>
      <c r="R26" s="63">
        <v>46747</v>
      </c>
      <c r="S26" s="63">
        <v>46779</v>
      </c>
      <c r="T26" s="63">
        <v>46811</v>
      </c>
      <c r="U26" s="63">
        <v>46843</v>
      </c>
      <c r="V26" s="62" t="s">
        <v>8</v>
      </c>
    </row>
    <row r="27" s="45" customFormat="1" spans="1:22">
      <c r="A27" s="51" t="s">
        <v>26</v>
      </c>
      <c r="B27" s="52"/>
      <c r="C27" s="52"/>
      <c r="D27" s="52"/>
      <c r="E27" s="52">
        <f>E28+E29</f>
        <v>25</v>
      </c>
      <c r="F27" s="52">
        <f t="shared" ref="F27:V27" si="18">F28+F29</f>
        <v>25</v>
      </c>
      <c r="G27" s="52">
        <f t="shared" si="18"/>
        <v>25</v>
      </c>
      <c r="H27" s="52">
        <f t="shared" si="18"/>
        <v>25</v>
      </c>
      <c r="I27" s="52">
        <f t="shared" si="18"/>
        <v>25</v>
      </c>
      <c r="J27" s="52">
        <f t="shared" si="18"/>
        <v>25</v>
      </c>
      <c r="K27" s="52">
        <f t="shared" si="18"/>
        <v>25</v>
      </c>
      <c r="L27" s="52">
        <f t="shared" si="18"/>
        <v>25</v>
      </c>
      <c r="M27" s="52">
        <f t="shared" si="18"/>
        <v>25</v>
      </c>
      <c r="N27" s="52">
        <f t="shared" si="18"/>
        <v>25</v>
      </c>
      <c r="O27" s="52">
        <f t="shared" si="18"/>
        <v>25</v>
      </c>
      <c r="P27" s="52">
        <f t="shared" si="18"/>
        <v>25</v>
      </c>
      <c r="Q27" s="52">
        <f t="shared" si="18"/>
        <v>25</v>
      </c>
      <c r="R27" s="52">
        <f t="shared" si="18"/>
        <v>25</v>
      </c>
      <c r="S27" s="52">
        <f t="shared" si="18"/>
        <v>25</v>
      </c>
      <c r="T27" s="52">
        <f t="shared" si="18"/>
        <v>25</v>
      </c>
      <c r="U27" s="52">
        <f t="shared" si="18"/>
        <v>25</v>
      </c>
      <c r="V27" s="52">
        <f t="shared" si="18"/>
        <v>425</v>
      </c>
    </row>
    <row r="28" s="46" customFormat="1" spans="1:22">
      <c r="A28" s="66" t="s">
        <v>10</v>
      </c>
      <c r="B28" s="67"/>
      <c r="C28" s="67"/>
      <c r="D28" s="67"/>
      <c r="E28" s="67">
        <v>20</v>
      </c>
      <c r="F28" s="67">
        <v>20</v>
      </c>
      <c r="G28" s="67">
        <v>20</v>
      </c>
      <c r="H28" s="67">
        <v>20</v>
      </c>
      <c r="I28" s="67">
        <v>20</v>
      </c>
      <c r="J28" s="67">
        <v>20</v>
      </c>
      <c r="K28" s="67">
        <v>20</v>
      </c>
      <c r="L28" s="67">
        <v>20</v>
      </c>
      <c r="M28" s="67">
        <v>20</v>
      </c>
      <c r="N28" s="67">
        <v>20</v>
      </c>
      <c r="O28" s="67">
        <v>20</v>
      </c>
      <c r="P28" s="67">
        <v>20</v>
      </c>
      <c r="Q28" s="67">
        <v>20</v>
      </c>
      <c r="R28" s="67">
        <v>20</v>
      </c>
      <c r="S28" s="67">
        <v>20</v>
      </c>
      <c r="T28" s="67">
        <v>20</v>
      </c>
      <c r="U28" s="67">
        <v>20</v>
      </c>
      <c r="V28" s="55">
        <f>SUM(B28:U28)</f>
        <v>340</v>
      </c>
    </row>
    <row r="29" s="46" customFormat="1" spans="1:22">
      <c r="A29" s="66" t="s">
        <v>11</v>
      </c>
      <c r="B29" s="67"/>
      <c r="C29" s="67"/>
      <c r="D29" s="67"/>
      <c r="E29" s="67">
        <v>5</v>
      </c>
      <c r="F29" s="67">
        <v>5</v>
      </c>
      <c r="G29" s="67">
        <v>5</v>
      </c>
      <c r="H29" s="67">
        <v>5</v>
      </c>
      <c r="I29" s="67">
        <v>5</v>
      </c>
      <c r="J29" s="67">
        <v>5</v>
      </c>
      <c r="K29" s="67">
        <v>5</v>
      </c>
      <c r="L29" s="67">
        <v>5</v>
      </c>
      <c r="M29" s="67">
        <v>5</v>
      </c>
      <c r="N29" s="67">
        <v>5</v>
      </c>
      <c r="O29" s="67">
        <v>5</v>
      </c>
      <c r="P29" s="67">
        <v>5</v>
      </c>
      <c r="Q29" s="67">
        <v>5</v>
      </c>
      <c r="R29" s="67">
        <v>5</v>
      </c>
      <c r="S29" s="67">
        <v>5</v>
      </c>
      <c r="T29" s="67">
        <v>5</v>
      </c>
      <c r="U29" s="67">
        <v>5</v>
      </c>
      <c r="V29" s="55">
        <f>SUM(B29:U29)</f>
        <v>85</v>
      </c>
    </row>
    <row r="30" s="45" customFormat="1" spans="1:22">
      <c r="A30" s="51" t="s">
        <v>29</v>
      </c>
      <c r="B30" s="52">
        <f t="shared" ref="B30:U30" si="19">SUM(B31:B35)</f>
        <v>11.5</v>
      </c>
      <c r="C30" s="52">
        <f t="shared" si="19"/>
        <v>4.505</v>
      </c>
      <c r="D30" s="52">
        <f t="shared" si="19"/>
        <v>17.04025</v>
      </c>
      <c r="E30" s="52">
        <f t="shared" si="19"/>
        <v>4.505</v>
      </c>
      <c r="F30" s="52">
        <f t="shared" si="19"/>
        <v>18.305</v>
      </c>
      <c r="G30" s="52">
        <f t="shared" si="19"/>
        <v>17.56805</v>
      </c>
      <c r="H30" s="52">
        <f t="shared" si="19"/>
        <v>4.505</v>
      </c>
      <c r="I30" s="52">
        <f t="shared" si="19"/>
        <v>4.505</v>
      </c>
      <c r="J30" s="52">
        <f t="shared" si="19"/>
        <v>17.56805</v>
      </c>
      <c r="K30" s="52">
        <f t="shared" si="19"/>
        <v>4.505</v>
      </c>
      <c r="L30" s="52">
        <f t="shared" si="19"/>
        <v>18.305</v>
      </c>
      <c r="M30" s="52">
        <f t="shared" si="19"/>
        <v>17.56805</v>
      </c>
      <c r="N30" s="52">
        <f t="shared" si="19"/>
        <v>4.505</v>
      </c>
      <c r="O30" s="52">
        <f t="shared" si="19"/>
        <v>4.505</v>
      </c>
      <c r="P30" s="52">
        <f t="shared" si="19"/>
        <v>17.56805</v>
      </c>
      <c r="Q30" s="52">
        <f t="shared" si="19"/>
        <v>4.505</v>
      </c>
      <c r="R30" s="52">
        <f t="shared" si="19"/>
        <v>4.505</v>
      </c>
      <c r="S30" s="52">
        <f t="shared" si="19"/>
        <v>17.56805</v>
      </c>
      <c r="T30" s="52">
        <f t="shared" si="19"/>
        <v>0</v>
      </c>
      <c r="U30" s="52">
        <f t="shared" si="19"/>
        <v>0</v>
      </c>
      <c r="V30" s="52">
        <f t="shared" ref="V30:V36" si="20">SUM(B30:U30)</f>
        <v>193.5355</v>
      </c>
    </row>
    <row r="31" s="45" customFormat="1" spans="1:22">
      <c r="A31" s="53" t="s">
        <v>30</v>
      </c>
      <c r="B31" s="55"/>
      <c r="C31" s="55">
        <v>3.905</v>
      </c>
      <c r="D31" s="55">
        <v>3.905</v>
      </c>
      <c r="E31" s="55">
        <v>3.905</v>
      </c>
      <c r="F31" s="55">
        <v>3.905</v>
      </c>
      <c r="G31" s="55">
        <v>3.905</v>
      </c>
      <c r="H31" s="55">
        <v>3.905</v>
      </c>
      <c r="I31" s="55">
        <v>3.905</v>
      </c>
      <c r="J31" s="55">
        <v>3.905</v>
      </c>
      <c r="K31" s="55">
        <v>3.905</v>
      </c>
      <c r="L31" s="55">
        <v>3.905</v>
      </c>
      <c r="M31" s="55">
        <v>3.905</v>
      </c>
      <c r="N31" s="55">
        <v>3.905</v>
      </c>
      <c r="O31" s="55">
        <v>3.905</v>
      </c>
      <c r="P31" s="55">
        <v>3.905</v>
      </c>
      <c r="Q31" s="55">
        <v>3.905</v>
      </c>
      <c r="R31" s="55">
        <v>3.905</v>
      </c>
      <c r="S31" s="55">
        <v>3.905</v>
      </c>
      <c r="T31" s="55"/>
      <c r="U31" s="55"/>
      <c r="V31" s="55">
        <f t="shared" si="20"/>
        <v>66.385</v>
      </c>
    </row>
    <row r="32" s="45" customFormat="1" spans="1:22">
      <c r="A32" s="53" t="s">
        <v>16</v>
      </c>
      <c r="B32" s="54"/>
      <c r="C32" s="54">
        <v>0.6</v>
      </c>
      <c r="D32" s="54">
        <v>0.6</v>
      </c>
      <c r="E32" s="54">
        <v>0.6</v>
      </c>
      <c r="F32" s="54">
        <v>0.6</v>
      </c>
      <c r="G32" s="54">
        <v>0.6</v>
      </c>
      <c r="H32" s="54">
        <v>0.6</v>
      </c>
      <c r="I32" s="54">
        <v>0.6</v>
      </c>
      <c r="J32" s="54">
        <v>0.6</v>
      </c>
      <c r="K32" s="54">
        <v>0.6</v>
      </c>
      <c r="L32" s="54">
        <v>0.6</v>
      </c>
      <c r="M32" s="54">
        <v>0.6</v>
      </c>
      <c r="N32" s="54">
        <v>0.6</v>
      </c>
      <c r="O32" s="54">
        <v>0.6</v>
      </c>
      <c r="P32" s="54">
        <v>0.6</v>
      </c>
      <c r="Q32" s="54">
        <v>0.6</v>
      </c>
      <c r="R32" s="54">
        <v>0.6</v>
      </c>
      <c r="S32" s="54">
        <v>0.6</v>
      </c>
      <c r="T32" s="54"/>
      <c r="U32" s="54"/>
      <c r="V32" s="54">
        <f t="shared" si="20"/>
        <v>10.2</v>
      </c>
    </row>
    <row r="33" s="45" customFormat="1" spans="1:22">
      <c r="A33" s="53" t="s">
        <v>17</v>
      </c>
      <c r="B33" s="55">
        <f>24/12*5</f>
        <v>10</v>
      </c>
      <c r="C33" s="55"/>
      <c r="D33" s="55"/>
      <c r="E33" s="55"/>
      <c r="F33" s="55">
        <v>12</v>
      </c>
      <c r="G33" s="55"/>
      <c r="H33" s="55"/>
      <c r="I33" s="55"/>
      <c r="J33" s="55"/>
      <c r="K33" s="55"/>
      <c r="L33" s="55">
        <v>12</v>
      </c>
      <c r="M33" s="55"/>
      <c r="N33" s="55"/>
      <c r="O33" s="55"/>
      <c r="P33" s="55"/>
      <c r="Q33" s="55"/>
      <c r="R33" s="55"/>
      <c r="S33" s="55"/>
      <c r="T33" s="55"/>
      <c r="U33" s="55"/>
      <c r="V33" s="55">
        <f t="shared" si="20"/>
        <v>34</v>
      </c>
    </row>
    <row r="34" s="45" customFormat="1" spans="1:22">
      <c r="A34" s="53" t="s">
        <v>18</v>
      </c>
      <c r="B34" s="55">
        <f>3.6/12*5</f>
        <v>1.5</v>
      </c>
      <c r="C34" s="54"/>
      <c r="D34" s="54"/>
      <c r="E34" s="54"/>
      <c r="F34" s="55">
        <v>1.8</v>
      </c>
      <c r="G34" s="54"/>
      <c r="H34" s="54"/>
      <c r="I34" s="54"/>
      <c r="J34" s="54"/>
      <c r="K34" s="54"/>
      <c r="L34" s="55">
        <v>1.8</v>
      </c>
      <c r="M34" s="54"/>
      <c r="N34" s="54"/>
      <c r="O34" s="54"/>
      <c r="P34" s="54"/>
      <c r="Q34" s="54"/>
      <c r="R34" s="54"/>
      <c r="S34" s="54"/>
      <c r="T34" s="54"/>
      <c r="U34" s="54"/>
      <c r="V34" s="54">
        <f t="shared" si="20"/>
        <v>5.1</v>
      </c>
    </row>
    <row r="35" s="45" customFormat="1" spans="1:22">
      <c r="A35" s="56" t="s">
        <v>19</v>
      </c>
      <c r="B35" s="55"/>
      <c r="C35" s="55"/>
      <c r="D35" s="55">
        <f>云游戏CP分成明细!C8+云游戏CP分成明细!D8</f>
        <v>12.53525</v>
      </c>
      <c r="E35" s="55"/>
      <c r="F35" s="55"/>
      <c r="G35" s="55">
        <f>云游戏CP分成明细!E8+云游戏CP分成明细!F8+云游戏CP分成明细!G8</f>
        <v>13.06305</v>
      </c>
      <c r="H35" s="55"/>
      <c r="I35" s="55"/>
      <c r="J35" s="55">
        <f>云游戏CP分成明细!H8+云游戏CP分成明细!I8+云游戏CP分成明细!J8</f>
        <v>13.06305</v>
      </c>
      <c r="K35" s="55"/>
      <c r="L35" s="55"/>
      <c r="M35" s="55">
        <f>云游戏CP分成明细!K8+云游戏CP分成明细!L8+云游戏CP分成明细!M8</f>
        <v>13.06305</v>
      </c>
      <c r="N35" s="55"/>
      <c r="O35" s="55"/>
      <c r="P35" s="55">
        <f>云游戏CP分成明细!N8+云游戏CP分成明细!O8+云游戏CP分成明细!P8</f>
        <v>13.06305</v>
      </c>
      <c r="Q35" s="55"/>
      <c r="R35" s="55"/>
      <c r="S35" s="55">
        <f>云游戏CP分成明细!Q8+云游戏CP分成明细!R8+云游戏CP分成明细!S8</f>
        <v>13.06305</v>
      </c>
      <c r="T35" s="55"/>
      <c r="U35" s="55"/>
      <c r="V35" s="55">
        <f t="shared" si="20"/>
        <v>77.8505</v>
      </c>
    </row>
    <row r="36" s="45" customFormat="1" spans="1:22">
      <c r="A36" s="51" t="s">
        <v>31</v>
      </c>
      <c r="B36" s="68">
        <f t="shared" ref="B36:U36" si="21">B27-B30</f>
        <v>-11.5</v>
      </c>
      <c r="C36" s="68">
        <f t="shared" si="21"/>
        <v>-4.505</v>
      </c>
      <c r="D36" s="68">
        <f t="shared" si="21"/>
        <v>-17.04025</v>
      </c>
      <c r="E36" s="68">
        <f t="shared" si="21"/>
        <v>20.495</v>
      </c>
      <c r="F36" s="68">
        <f t="shared" si="21"/>
        <v>6.695</v>
      </c>
      <c r="G36" s="68">
        <f t="shared" si="21"/>
        <v>7.43195</v>
      </c>
      <c r="H36" s="68">
        <f t="shared" si="21"/>
        <v>20.495</v>
      </c>
      <c r="I36" s="68">
        <f t="shared" si="21"/>
        <v>20.495</v>
      </c>
      <c r="J36" s="68">
        <f t="shared" si="21"/>
        <v>7.43195</v>
      </c>
      <c r="K36" s="68">
        <f t="shared" si="21"/>
        <v>20.495</v>
      </c>
      <c r="L36" s="68">
        <f t="shared" si="21"/>
        <v>6.695</v>
      </c>
      <c r="M36" s="68">
        <f t="shared" si="21"/>
        <v>7.43195</v>
      </c>
      <c r="N36" s="68">
        <f t="shared" si="21"/>
        <v>20.495</v>
      </c>
      <c r="O36" s="68">
        <f t="shared" si="21"/>
        <v>20.495</v>
      </c>
      <c r="P36" s="68">
        <f t="shared" si="21"/>
        <v>7.43195</v>
      </c>
      <c r="Q36" s="68">
        <f t="shared" si="21"/>
        <v>20.495</v>
      </c>
      <c r="R36" s="68">
        <f t="shared" si="21"/>
        <v>20.495</v>
      </c>
      <c r="S36" s="68">
        <f t="shared" si="21"/>
        <v>7.43195</v>
      </c>
      <c r="T36" s="68">
        <f t="shared" si="21"/>
        <v>25</v>
      </c>
      <c r="U36" s="68">
        <f t="shared" si="21"/>
        <v>25</v>
      </c>
      <c r="V36" s="68">
        <f t="shared" si="20"/>
        <v>231.4645</v>
      </c>
    </row>
    <row r="38" s="45" customFormat="1" ht="27" customHeight="1" spans="1:22">
      <c r="A38" s="60" t="s">
        <v>35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V38" s="61" t="s">
        <v>3</v>
      </c>
    </row>
    <row r="39" s="45" customFormat="1" spans="1:22">
      <c r="A39" s="62" t="s">
        <v>24</v>
      </c>
      <c r="B39" s="63">
        <v>46235</v>
      </c>
      <c r="C39" s="63">
        <v>46267</v>
      </c>
      <c r="D39" s="63">
        <v>46299</v>
      </c>
      <c r="E39" s="63">
        <v>46331</v>
      </c>
      <c r="F39" s="63">
        <v>46363</v>
      </c>
      <c r="G39" s="63">
        <v>46395</v>
      </c>
      <c r="H39" s="63">
        <v>46427</v>
      </c>
      <c r="I39" s="63">
        <v>46459</v>
      </c>
      <c r="J39" s="63">
        <v>46491</v>
      </c>
      <c r="K39" s="63">
        <v>46523</v>
      </c>
      <c r="L39" s="63">
        <v>46555</v>
      </c>
      <c r="M39" s="63">
        <v>46587</v>
      </c>
      <c r="N39" s="63">
        <v>46619</v>
      </c>
      <c r="O39" s="63">
        <v>46651</v>
      </c>
      <c r="P39" s="63">
        <v>46683</v>
      </c>
      <c r="Q39" s="63">
        <v>46715</v>
      </c>
      <c r="R39" s="63">
        <v>46747</v>
      </c>
      <c r="S39" s="63">
        <v>46779</v>
      </c>
      <c r="T39" s="63">
        <v>46811</v>
      </c>
      <c r="U39" s="63">
        <v>46843</v>
      </c>
      <c r="V39" s="62" t="s">
        <v>8</v>
      </c>
    </row>
    <row r="40" s="45" customFormat="1" spans="1:22">
      <c r="A40" s="51" t="s">
        <v>26</v>
      </c>
      <c r="B40" s="52"/>
      <c r="C40" s="52"/>
      <c r="D40" s="52"/>
      <c r="E40" s="52">
        <f t="shared" ref="E40:V40" si="22">E41+E42</f>
        <v>25</v>
      </c>
      <c r="F40" s="52">
        <f t="shared" si="22"/>
        <v>25</v>
      </c>
      <c r="G40" s="52">
        <f t="shared" si="22"/>
        <v>25</v>
      </c>
      <c r="H40" s="52">
        <f t="shared" si="22"/>
        <v>25</v>
      </c>
      <c r="I40" s="52">
        <f t="shared" si="22"/>
        <v>25</v>
      </c>
      <c r="J40" s="52">
        <f t="shared" si="22"/>
        <v>25</v>
      </c>
      <c r="K40" s="52">
        <f t="shared" si="22"/>
        <v>25</v>
      </c>
      <c r="L40" s="52">
        <f t="shared" si="22"/>
        <v>25</v>
      </c>
      <c r="M40" s="52">
        <f t="shared" si="22"/>
        <v>25</v>
      </c>
      <c r="N40" s="52">
        <f t="shared" si="22"/>
        <v>25</v>
      </c>
      <c r="O40" s="52">
        <f t="shared" si="22"/>
        <v>25</v>
      </c>
      <c r="P40" s="52">
        <f t="shared" si="22"/>
        <v>25</v>
      </c>
      <c r="Q40" s="52">
        <f t="shared" si="22"/>
        <v>25</v>
      </c>
      <c r="R40" s="52">
        <f t="shared" si="22"/>
        <v>25</v>
      </c>
      <c r="S40" s="52">
        <f t="shared" si="22"/>
        <v>25</v>
      </c>
      <c r="T40" s="52">
        <f t="shared" si="22"/>
        <v>25</v>
      </c>
      <c r="U40" s="52">
        <f t="shared" si="22"/>
        <v>25</v>
      </c>
      <c r="V40" s="52">
        <f t="shared" si="22"/>
        <v>425</v>
      </c>
    </row>
    <row r="41" s="46" customFormat="1" spans="1:22">
      <c r="A41" s="66" t="s">
        <v>10</v>
      </c>
      <c r="B41" s="67"/>
      <c r="C41" s="67"/>
      <c r="D41" s="67"/>
      <c r="E41" s="67">
        <v>20</v>
      </c>
      <c r="F41" s="67">
        <v>20</v>
      </c>
      <c r="G41" s="67">
        <v>20</v>
      </c>
      <c r="H41" s="67">
        <v>20</v>
      </c>
      <c r="I41" s="67">
        <v>20</v>
      </c>
      <c r="J41" s="67">
        <v>20</v>
      </c>
      <c r="K41" s="67">
        <v>20</v>
      </c>
      <c r="L41" s="67">
        <v>20</v>
      </c>
      <c r="M41" s="67">
        <v>20</v>
      </c>
      <c r="N41" s="67">
        <v>20</v>
      </c>
      <c r="O41" s="67">
        <v>20</v>
      </c>
      <c r="P41" s="67">
        <v>20</v>
      </c>
      <c r="Q41" s="67">
        <v>20</v>
      </c>
      <c r="R41" s="67">
        <v>20</v>
      </c>
      <c r="S41" s="67">
        <v>20</v>
      </c>
      <c r="T41" s="67">
        <v>20</v>
      </c>
      <c r="U41" s="67">
        <v>20</v>
      </c>
      <c r="V41" s="55">
        <f t="shared" ref="V41:V49" si="23">SUM(B41:U41)</f>
        <v>340</v>
      </c>
    </row>
    <row r="42" s="46" customFormat="1" spans="1:22">
      <c r="A42" s="66" t="s">
        <v>11</v>
      </c>
      <c r="B42" s="67"/>
      <c r="C42" s="67"/>
      <c r="D42" s="67"/>
      <c r="E42" s="67">
        <v>5</v>
      </c>
      <c r="F42" s="67">
        <v>5</v>
      </c>
      <c r="G42" s="67">
        <v>5</v>
      </c>
      <c r="H42" s="67">
        <v>5</v>
      </c>
      <c r="I42" s="67">
        <v>5</v>
      </c>
      <c r="J42" s="67">
        <v>5</v>
      </c>
      <c r="K42" s="67">
        <v>5</v>
      </c>
      <c r="L42" s="67">
        <v>5</v>
      </c>
      <c r="M42" s="67">
        <v>5</v>
      </c>
      <c r="N42" s="67">
        <v>5</v>
      </c>
      <c r="O42" s="67">
        <v>5</v>
      </c>
      <c r="P42" s="67">
        <v>5</v>
      </c>
      <c r="Q42" s="67">
        <v>5</v>
      </c>
      <c r="R42" s="67">
        <v>5</v>
      </c>
      <c r="S42" s="67">
        <v>5</v>
      </c>
      <c r="T42" s="67">
        <v>5</v>
      </c>
      <c r="U42" s="67">
        <v>5</v>
      </c>
      <c r="V42" s="55">
        <f t="shared" si="23"/>
        <v>85</v>
      </c>
    </row>
    <row r="43" s="45" customFormat="1" spans="1:22">
      <c r="A43" s="51" t="s">
        <v>29</v>
      </c>
      <c r="B43" s="52">
        <f t="shared" ref="B43:U43" si="24">SUM(B44:B48)</f>
        <v>11.5</v>
      </c>
      <c r="C43" s="52">
        <f t="shared" si="24"/>
        <v>4.505</v>
      </c>
      <c r="D43" s="52">
        <f t="shared" si="24"/>
        <v>11.81525</v>
      </c>
      <c r="E43" s="52">
        <f t="shared" si="24"/>
        <v>4.505</v>
      </c>
      <c r="F43" s="52">
        <f t="shared" si="24"/>
        <v>18.305</v>
      </c>
      <c r="G43" s="52">
        <f t="shared" si="24"/>
        <v>12.12305</v>
      </c>
      <c r="H43" s="52">
        <f t="shared" si="24"/>
        <v>4.505</v>
      </c>
      <c r="I43" s="52">
        <f t="shared" si="24"/>
        <v>4.505</v>
      </c>
      <c r="J43" s="52">
        <f t="shared" si="24"/>
        <v>12.12305</v>
      </c>
      <c r="K43" s="52">
        <f t="shared" si="24"/>
        <v>4.505</v>
      </c>
      <c r="L43" s="52">
        <f t="shared" si="24"/>
        <v>18.305</v>
      </c>
      <c r="M43" s="52">
        <f t="shared" si="24"/>
        <v>12.12305</v>
      </c>
      <c r="N43" s="52">
        <f t="shared" si="24"/>
        <v>4.505</v>
      </c>
      <c r="O43" s="52">
        <f t="shared" si="24"/>
        <v>4.505</v>
      </c>
      <c r="P43" s="52">
        <f t="shared" si="24"/>
        <v>12.12305</v>
      </c>
      <c r="Q43" s="52">
        <f t="shared" si="24"/>
        <v>4.505</v>
      </c>
      <c r="R43" s="52">
        <f t="shared" si="24"/>
        <v>4.505</v>
      </c>
      <c r="S43" s="52">
        <f t="shared" si="24"/>
        <v>12.12305</v>
      </c>
      <c r="T43" s="52">
        <f t="shared" si="24"/>
        <v>0</v>
      </c>
      <c r="U43" s="52">
        <f t="shared" si="24"/>
        <v>0</v>
      </c>
      <c r="V43" s="52">
        <f t="shared" si="23"/>
        <v>161.0855</v>
      </c>
    </row>
    <row r="44" s="45" customFormat="1" spans="1:22">
      <c r="A44" s="53" t="s">
        <v>30</v>
      </c>
      <c r="B44" s="55"/>
      <c r="C44" s="55">
        <v>3.905</v>
      </c>
      <c r="D44" s="55">
        <v>3.905</v>
      </c>
      <c r="E44" s="55">
        <v>3.905</v>
      </c>
      <c r="F44" s="55">
        <v>3.905</v>
      </c>
      <c r="G44" s="55">
        <v>3.905</v>
      </c>
      <c r="H44" s="55">
        <v>3.905</v>
      </c>
      <c r="I44" s="55">
        <v>3.905</v>
      </c>
      <c r="J44" s="55">
        <v>3.905</v>
      </c>
      <c r="K44" s="55">
        <v>3.905</v>
      </c>
      <c r="L44" s="55">
        <v>3.905</v>
      </c>
      <c r="M44" s="55">
        <v>3.905</v>
      </c>
      <c r="N44" s="55">
        <v>3.905</v>
      </c>
      <c r="O44" s="55">
        <v>3.905</v>
      </c>
      <c r="P44" s="55">
        <v>3.905</v>
      </c>
      <c r="Q44" s="55">
        <v>3.905</v>
      </c>
      <c r="R44" s="55">
        <v>3.905</v>
      </c>
      <c r="S44" s="55">
        <v>3.905</v>
      </c>
      <c r="T44" s="55"/>
      <c r="U44" s="55"/>
      <c r="V44" s="55">
        <f t="shared" si="23"/>
        <v>66.385</v>
      </c>
    </row>
    <row r="45" s="45" customFormat="1" spans="1:22">
      <c r="A45" s="53" t="s">
        <v>16</v>
      </c>
      <c r="B45" s="54"/>
      <c r="C45" s="54">
        <v>0.6</v>
      </c>
      <c r="D45" s="54">
        <v>0.6</v>
      </c>
      <c r="E45" s="54">
        <v>0.6</v>
      </c>
      <c r="F45" s="54">
        <v>0.6</v>
      </c>
      <c r="G45" s="54">
        <v>0.6</v>
      </c>
      <c r="H45" s="54">
        <v>0.6</v>
      </c>
      <c r="I45" s="54">
        <v>0.6</v>
      </c>
      <c r="J45" s="54">
        <v>0.6</v>
      </c>
      <c r="K45" s="54">
        <v>0.6</v>
      </c>
      <c r="L45" s="54">
        <v>0.6</v>
      </c>
      <c r="M45" s="54">
        <v>0.6</v>
      </c>
      <c r="N45" s="54">
        <v>0.6</v>
      </c>
      <c r="O45" s="54">
        <v>0.6</v>
      </c>
      <c r="P45" s="54">
        <v>0.6</v>
      </c>
      <c r="Q45" s="54">
        <v>0.6</v>
      </c>
      <c r="R45" s="54">
        <v>0.6</v>
      </c>
      <c r="S45" s="54">
        <v>0.6</v>
      </c>
      <c r="T45" s="54"/>
      <c r="U45" s="54"/>
      <c r="V45" s="54">
        <f t="shared" si="23"/>
        <v>10.2</v>
      </c>
    </row>
    <row r="46" s="45" customFormat="1" spans="1:22">
      <c r="A46" s="53" t="s">
        <v>17</v>
      </c>
      <c r="B46" s="55">
        <f>24/12*5</f>
        <v>10</v>
      </c>
      <c r="C46" s="55"/>
      <c r="D46" s="55"/>
      <c r="E46" s="55"/>
      <c r="F46" s="55">
        <v>12</v>
      </c>
      <c r="G46" s="55"/>
      <c r="H46" s="55"/>
      <c r="I46" s="55"/>
      <c r="J46" s="55"/>
      <c r="K46" s="55"/>
      <c r="L46" s="55">
        <v>12</v>
      </c>
      <c r="M46" s="55"/>
      <c r="N46" s="55"/>
      <c r="O46" s="55"/>
      <c r="P46" s="55"/>
      <c r="Q46" s="55"/>
      <c r="R46" s="55"/>
      <c r="S46" s="55"/>
      <c r="T46" s="55"/>
      <c r="U46" s="55"/>
      <c r="V46" s="55">
        <f t="shared" si="23"/>
        <v>34</v>
      </c>
    </row>
    <row r="47" s="45" customFormat="1" spans="1:22">
      <c r="A47" s="53" t="s">
        <v>18</v>
      </c>
      <c r="B47" s="55">
        <f>3.6/12*5</f>
        <v>1.5</v>
      </c>
      <c r="C47" s="54"/>
      <c r="D47" s="54"/>
      <c r="E47" s="54"/>
      <c r="F47" s="55">
        <v>1.8</v>
      </c>
      <c r="G47" s="54"/>
      <c r="H47" s="54"/>
      <c r="I47" s="54"/>
      <c r="J47" s="54"/>
      <c r="K47" s="54"/>
      <c r="L47" s="55">
        <v>1.8</v>
      </c>
      <c r="M47" s="54"/>
      <c r="N47" s="54"/>
      <c r="O47" s="54"/>
      <c r="P47" s="54"/>
      <c r="Q47" s="54"/>
      <c r="R47" s="54"/>
      <c r="S47" s="54"/>
      <c r="T47" s="54"/>
      <c r="U47" s="54"/>
      <c r="V47" s="54">
        <f t="shared" si="23"/>
        <v>5.1</v>
      </c>
    </row>
    <row r="48" s="45" customFormat="1" spans="1:22">
      <c r="A48" s="56" t="s">
        <v>19</v>
      </c>
      <c r="B48" s="55"/>
      <c r="C48" s="55"/>
      <c r="D48" s="55">
        <f>云游戏CP分成明细!C30+云游戏CP分成明细!D30</f>
        <v>7.31025</v>
      </c>
      <c r="E48" s="55"/>
      <c r="F48" s="55"/>
      <c r="G48" s="55">
        <f>云游戏CP分成明细!E30+云游戏CP分成明细!F30+云游戏CP分成明细!G30</f>
        <v>7.61805</v>
      </c>
      <c r="H48" s="55"/>
      <c r="I48" s="55"/>
      <c r="J48" s="55">
        <f>云游戏CP分成明细!H30+云游戏CP分成明细!I30+云游戏CP分成明细!J30</f>
        <v>7.61805</v>
      </c>
      <c r="K48" s="55"/>
      <c r="L48" s="55"/>
      <c r="M48" s="55">
        <f>云游戏CP分成明细!K30+云游戏CP分成明细!L30+云游戏CP分成明细!M30</f>
        <v>7.61805</v>
      </c>
      <c r="N48" s="55"/>
      <c r="O48" s="55"/>
      <c r="P48" s="55">
        <f>云游戏CP分成明细!N30+云游戏CP分成明细!O30+云游戏CP分成明细!P30</f>
        <v>7.61805</v>
      </c>
      <c r="Q48" s="55"/>
      <c r="R48" s="55"/>
      <c r="S48" s="55">
        <f>云游戏CP分成明细!Q30+云游戏CP分成明细!R30+云游戏CP分成明细!S30</f>
        <v>7.61805</v>
      </c>
      <c r="T48" s="55"/>
      <c r="U48" s="55"/>
      <c r="V48" s="55">
        <f t="shared" si="23"/>
        <v>45.4005</v>
      </c>
    </row>
    <row r="49" s="45" customFormat="1" spans="1:22">
      <c r="A49" s="51" t="s">
        <v>31</v>
      </c>
      <c r="B49" s="68">
        <f t="shared" ref="B49:U49" si="25">B40-B43</f>
        <v>-11.5</v>
      </c>
      <c r="C49" s="68">
        <f t="shared" si="25"/>
        <v>-4.505</v>
      </c>
      <c r="D49" s="68">
        <f t="shared" si="25"/>
        <v>-11.81525</v>
      </c>
      <c r="E49" s="68">
        <f t="shared" si="25"/>
        <v>20.495</v>
      </c>
      <c r="F49" s="68">
        <f t="shared" si="25"/>
        <v>6.695</v>
      </c>
      <c r="G49" s="68">
        <f t="shared" si="25"/>
        <v>12.87695</v>
      </c>
      <c r="H49" s="68">
        <f t="shared" si="25"/>
        <v>20.495</v>
      </c>
      <c r="I49" s="68">
        <f t="shared" si="25"/>
        <v>20.495</v>
      </c>
      <c r="J49" s="68">
        <f t="shared" si="25"/>
        <v>12.87695</v>
      </c>
      <c r="K49" s="68">
        <f t="shared" si="25"/>
        <v>20.495</v>
      </c>
      <c r="L49" s="68">
        <f t="shared" si="25"/>
        <v>6.695</v>
      </c>
      <c r="M49" s="68">
        <f t="shared" si="25"/>
        <v>12.87695</v>
      </c>
      <c r="N49" s="68">
        <f t="shared" si="25"/>
        <v>20.495</v>
      </c>
      <c r="O49" s="68">
        <f t="shared" si="25"/>
        <v>20.495</v>
      </c>
      <c r="P49" s="68">
        <f t="shared" si="25"/>
        <v>12.87695</v>
      </c>
      <c r="Q49" s="68">
        <f t="shared" si="25"/>
        <v>20.495</v>
      </c>
      <c r="R49" s="68">
        <f t="shared" si="25"/>
        <v>20.495</v>
      </c>
      <c r="S49" s="68">
        <f t="shared" si="25"/>
        <v>12.87695</v>
      </c>
      <c r="T49" s="68">
        <f t="shared" si="25"/>
        <v>25</v>
      </c>
      <c r="U49" s="68">
        <f t="shared" si="25"/>
        <v>25</v>
      </c>
      <c r="V49" s="68">
        <f t="shared" si="23"/>
        <v>263.9145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33"/>
  <sheetViews>
    <sheetView topLeftCell="B1" workbookViewId="0">
      <selection activeCell="C30" sqref="C30:S30"/>
    </sheetView>
  </sheetViews>
  <sheetFormatPr defaultColWidth="8.89166666666667" defaultRowHeight="13.5"/>
  <cols>
    <col min="1" max="1" width="8.44166666666667" customWidth="1"/>
    <col min="2" max="2" width="27.4416666666667" customWidth="1"/>
    <col min="3" max="20" width="11.6666666666667" customWidth="1"/>
  </cols>
  <sheetData>
    <row r="1" customFormat="1" ht="20.25" spans="1:20">
      <c r="A1" s="32" t="s">
        <v>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4"/>
    </row>
    <row r="2" customFormat="1" ht="14.25" spans="1:20">
      <c r="A2" s="35" t="s">
        <v>37</v>
      </c>
      <c r="B2" s="35" t="s">
        <v>38</v>
      </c>
      <c r="C2" s="35" t="s">
        <v>39</v>
      </c>
      <c r="D2" s="35" t="s">
        <v>40</v>
      </c>
      <c r="E2" s="35" t="s">
        <v>41</v>
      </c>
      <c r="F2" s="35" t="s">
        <v>42</v>
      </c>
      <c r="G2" s="35" t="s">
        <v>43</v>
      </c>
      <c r="H2" s="35" t="s">
        <v>44</v>
      </c>
      <c r="I2" s="35" t="s">
        <v>45</v>
      </c>
      <c r="J2" s="35" t="s">
        <v>46</v>
      </c>
      <c r="K2" s="35" t="s">
        <v>47</v>
      </c>
      <c r="L2" s="35" t="s">
        <v>48</v>
      </c>
      <c r="M2" s="35" t="s">
        <v>49</v>
      </c>
      <c r="N2" s="35" t="s">
        <v>50</v>
      </c>
      <c r="O2" s="35" t="s">
        <v>51</v>
      </c>
      <c r="P2" s="35" t="s">
        <v>40</v>
      </c>
      <c r="Q2" s="35" t="s">
        <v>41</v>
      </c>
      <c r="R2" s="35" t="s">
        <v>42</v>
      </c>
      <c r="S2" s="35" t="s">
        <v>43</v>
      </c>
      <c r="T2" s="35" t="s">
        <v>8</v>
      </c>
    </row>
    <row r="3" customFormat="1" ht="14.25" spans="1:20">
      <c r="A3" s="36">
        <v>1</v>
      </c>
      <c r="B3" s="24" t="s">
        <v>52</v>
      </c>
      <c r="C3" s="37">
        <v>20</v>
      </c>
      <c r="D3" s="37">
        <v>20</v>
      </c>
      <c r="E3" s="37">
        <v>20</v>
      </c>
      <c r="F3" s="37">
        <v>20</v>
      </c>
      <c r="G3" s="37">
        <v>20</v>
      </c>
      <c r="H3" s="37">
        <v>20</v>
      </c>
      <c r="I3" s="37">
        <v>20</v>
      </c>
      <c r="J3" s="37">
        <v>20</v>
      </c>
      <c r="K3" s="37">
        <v>20</v>
      </c>
      <c r="L3" s="37">
        <v>20</v>
      </c>
      <c r="M3" s="37">
        <v>20</v>
      </c>
      <c r="N3" s="37">
        <v>20</v>
      </c>
      <c r="O3" s="37">
        <v>20</v>
      </c>
      <c r="P3" s="37">
        <v>20</v>
      </c>
      <c r="Q3" s="37">
        <v>20</v>
      </c>
      <c r="R3" s="37">
        <v>20</v>
      </c>
      <c r="S3" s="37">
        <v>20</v>
      </c>
      <c r="T3" s="37">
        <f t="shared" ref="T3:T9" si="0">SUM(C3:S3)</f>
        <v>340</v>
      </c>
    </row>
    <row r="4" customFormat="1" ht="14.25" spans="1:20">
      <c r="A4" s="36">
        <v>2</v>
      </c>
      <c r="B4" s="24" t="s">
        <v>53</v>
      </c>
      <c r="C4" s="38">
        <f t="shared" ref="C4:S4" si="1">81.66/12</f>
        <v>6.805</v>
      </c>
      <c r="D4" s="38">
        <f t="shared" si="1"/>
        <v>6.805</v>
      </c>
      <c r="E4" s="38">
        <f t="shared" si="1"/>
        <v>6.805</v>
      </c>
      <c r="F4" s="38">
        <f t="shared" si="1"/>
        <v>6.805</v>
      </c>
      <c r="G4" s="38">
        <f t="shared" si="1"/>
        <v>6.805</v>
      </c>
      <c r="H4" s="38">
        <f t="shared" si="1"/>
        <v>6.805</v>
      </c>
      <c r="I4" s="38">
        <f t="shared" si="1"/>
        <v>6.805</v>
      </c>
      <c r="J4" s="38">
        <f t="shared" si="1"/>
        <v>6.805</v>
      </c>
      <c r="K4" s="38">
        <f t="shared" si="1"/>
        <v>6.805</v>
      </c>
      <c r="L4" s="38">
        <f t="shared" si="1"/>
        <v>6.805</v>
      </c>
      <c r="M4" s="38">
        <f t="shared" si="1"/>
        <v>6.805</v>
      </c>
      <c r="N4" s="38">
        <f t="shared" si="1"/>
        <v>6.805</v>
      </c>
      <c r="O4" s="38">
        <f t="shared" si="1"/>
        <v>6.805</v>
      </c>
      <c r="P4" s="38">
        <f t="shared" si="1"/>
        <v>6.805</v>
      </c>
      <c r="Q4" s="38">
        <f t="shared" si="1"/>
        <v>6.805</v>
      </c>
      <c r="R4" s="38">
        <f t="shared" si="1"/>
        <v>6.805</v>
      </c>
      <c r="S4" s="38">
        <f t="shared" si="1"/>
        <v>6.805</v>
      </c>
      <c r="T4" s="38">
        <f t="shared" si="0"/>
        <v>115.685</v>
      </c>
    </row>
    <row r="5" customFormat="1" ht="14.25" spans="1:20">
      <c r="A5" s="36">
        <v>3</v>
      </c>
      <c r="B5" s="24" t="s">
        <v>54</v>
      </c>
      <c r="C5" s="38">
        <f t="shared" ref="C5:S5" si="2">C3-C4</f>
        <v>13.195</v>
      </c>
      <c r="D5" s="38">
        <f t="shared" si="2"/>
        <v>13.195</v>
      </c>
      <c r="E5" s="38">
        <f t="shared" si="2"/>
        <v>13.195</v>
      </c>
      <c r="F5" s="38">
        <f t="shared" si="2"/>
        <v>13.195</v>
      </c>
      <c r="G5" s="38">
        <f t="shared" si="2"/>
        <v>13.195</v>
      </c>
      <c r="H5" s="38">
        <f t="shared" si="2"/>
        <v>13.195</v>
      </c>
      <c r="I5" s="38">
        <f t="shared" si="2"/>
        <v>13.195</v>
      </c>
      <c r="J5" s="38">
        <f t="shared" si="2"/>
        <v>13.195</v>
      </c>
      <c r="K5" s="38">
        <f t="shared" si="2"/>
        <v>13.195</v>
      </c>
      <c r="L5" s="38">
        <f t="shared" si="2"/>
        <v>13.195</v>
      </c>
      <c r="M5" s="38">
        <f t="shared" si="2"/>
        <v>13.195</v>
      </c>
      <c r="N5" s="38">
        <f t="shared" si="2"/>
        <v>13.195</v>
      </c>
      <c r="O5" s="38">
        <f t="shared" si="2"/>
        <v>13.195</v>
      </c>
      <c r="P5" s="38">
        <f t="shared" si="2"/>
        <v>13.195</v>
      </c>
      <c r="Q5" s="38">
        <f t="shared" si="2"/>
        <v>13.195</v>
      </c>
      <c r="R5" s="38">
        <f t="shared" si="2"/>
        <v>13.195</v>
      </c>
      <c r="S5" s="38">
        <f t="shared" si="2"/>
        <v>13.195</v>
      </c>
      <c r="T5" s="38">
        <f t="shared" si="0"/>
        <v>224.315</v>
      </c>
    </row>
    <row r="6" customFormat="1" ht="14.25" spans="1:20">
      <c r="A6" s="36">
        <v>4</v>
      </c>
      <c r="B6" s="24" t="s">
        <v>55</v>
      </c>
      <c r="C6" s="39">
        <v>0.5</v>
      </c>
      <c r="D6" s="39">
        <v>0.5</v>
      </c>
      <c r="E6" s="39">
        <v>0.5</v>
      </c>
      <c r="F6" s="39">
        <v>0.5</v>
      </c>
      <c r="G6" s="39">
        <v>0.5</v>
      </c>
      <c r="H6" s="39">
        <v>0.5</v>
      </c>
      <c r="I6" s="39">
        <v>0.5</v>
      </c>
      <c r="J6" s="39">
        <v>0.5</v>
      </c>
      <c r="K6" s="39">
        <v>0.5</v>
      </c>
      <c r="L6" s="39">
        <v>0.5</v>
      </c>
      <c r="M6" s="39">
        <v>0.5</v>
      </c>
      <c r="N6" s="39">
        <v>0.5</v>
      </c>
      <c r="O6" s="39">
        <v>0.5</v>
      </c>
      <c r="P6" s="39">
        <v>0.5</v>
      </c>
      <c r="Q6" s="39">
        <v>0.5</v>
      </c>
      <c r="R6" s="39">
        <v>0.5</v>
      </c>
      <c r="S6" s="39">
        <v>0.5</v>
      </c>
      <c r="T6" s="38"/>
    </row>
    <row r="7" customFormat="1" ht="14.25" spans="1:20">
      <c r="A7" s="36">
        <v>5</v>
      </c>
      <c r="B7" s="24" t="s">
        <v>56</v>
      </c>
      <c r="C7" s="40">
        <v>0.95</v>
      </c>
      <c r="D7" s="40">
        <v>0.95</v>
      </c>
      <c r="E7" s="39">
        <v>0.66</v>
      </c>
      <c r="F7" s="39">
        <v>0.66</v>
      </c>
      <c r="G7" s="39">
        <v>0.66</v>
      </c>
      <c r="H7" s="39">
        <v>0.66</v>
      </c>
      <c r="I7" s="39">
        <v>0.66</v>
      </c>
      <c r="J7" s="39">
        <v>0.66</v>
      </c>
      <c r="K7" s="39">
        <v>0.66</v>
      </c>
      <c r="L7" s="39">
        <v>0.66</v>
      </c>
      <c r="M7" s="39">
        <v>0.66</v>
      </c>
      <c r="N7" s="39">
        <v>0.66</v>
      </c>
      <c r="O7" s="39">
        <v>0.66</v>
      </c>
      <c r="P7" s="39">
        <v>0.66</v>
      </c>
      <c r="Q7" s="39">
        <v>0.66</v>
      </c>
      <c r="R7" s="39">
        <v>0.66</v>
      </c>
      <c r="S7" s="39">
        <v>0.66</v>
      </c>
      <c r="T7" s="38"/>
    </row>
    <row r="8" customFormat="1" ht="14.25" spans="1:20">
      <c r="A8" s="36">
        <v>6</v>
      </c>
      <c r="B8" s="37" t="s">
        <v>57</v>
      </c>
      <c r="C8" s="38">
        <f t="shared" ref="C8:S8" si="3">C5*C6*C7</f>
        <v>6.267625</v>
      </c>
      <c r="D8" s="38">
        <f t="shared" si="3"/>
        <v>6.267625</v>
      </c>
      <c r="E8" s="38">
        <f t="shared" si="3"/>
        <v>4.35435</v>
      </c>
      <c r="F8" s="38">
        <f t="shared" si="3"/>
        <v>4.35435</v>
      </c>
      <c r="G8" s="38">
        <f t="shared" si="3"/>
        <v>4.35435</v>
      </c>
      <c r="H8" s="38">
        <f t="shared" si="3"/>
        <v>4.35435</v>
      </c>
      <c r="I8" s="38">
        <f t="shared" si="3"/>
        <v>4.35435</v>
      </c>
      <c r="J8" s="38">
        <f t="shared" si="3"/>
        <v>4.35435</v>
      </c>
      <c r="K8" s="38">
        <f t="shared" si="3"/>
        <v>4.35435</v>
      </c>
      <c r="L8" s="38">
        <f t="shared" si="3"/>
        <v>4.35435</v>
      </c>
      <c r="M8" s="38">
        <f t="shared" si="3"/>
        <v>4.35435</v>
      </c>
      <c r="N8" s="38">
        <f t="shared" si="3"/>
        <v>4.35435</v>
      </c>
      <c r="O8" s="38">
        <f t="shared" si="3"/>
        <v>4.35435</v>
      </c>
      <c r="P8" s="38">
        <f t="shared" si="3"/>
        <v>4.35435</v>
      </c>
      <c r="Q8" s="38">
        <f t="shared" si="3"/>
        <v>4.35435</v>
      </c>
      <c r="R8" s="38">
        <f t="shared" si="3"/>
        <v>4.35435</v>
      </c>
      <c r="S8" s="38">
        <f t="shared" si="3"/>
        <v>4.35435</v>
      </c>
      <c r="T8" s="38">
        <f t="shared" si="0"/>
        <v>77.8505</v>
      </c>
    </row>
    <row r="9" customFormat="1" ht="14.25" spans="1:20">
      <c r="A9" s="36">
        <v>7</v>
      </c>
      <c r="B9" s="37" t="s">
        <v>58</v>
      </c>
      <c r="C9" s="38">
        <f t="shared" ref="C9:S9" si="4">C5-C8</f>
        <v>6.927375</v>
      </c>
      <c r="D9" s="38">
        <f t="shared" si="4"/>
        <v>6.927375</v>
      </c>
      <c r="E9" s="38">
        <f t="shared" si="4"/>
        <v>8.84065</v>
      </c>
      <c r="F9" s="38">
        <f t="shared" si="4"/>
        <v>8.84065</v>
      </c>
      <c r="G9" s="38">
        <f t="shared" si="4"/>
        <v>8.84065</v>
      </c>
      <c r="H9" s="38">
        <f t="shared" si="4"/>
        <v>8.84065</v>
      </c>
      <c r="I9" s="38">
        <f t="shared" si="4"/>
        <v>8.84065</v>
      </c>
      <c r="J9" s="38">
        <f t="shared" si="4"/>
        <v>8.84065</v>
      </c>
      <c r="K9" s="38">
        <f t="shared" si="4"/>
        <v>8.84065</v>
      </c>
      <c r="L9" s="38">
        <f t="shared" si="4"/>
        <v>8.84065</v>
      </c>
      <c r="M9" s="38">
        <f t="shared" si="4"/>
        <v>8.84065</v>
      </c>
      <c r="N9" s="38">
        <f t="shared" si="4"/>
        <v>8.84065</v>
      </c>
      <c r="O9" s="38">
        <f t="shared" si="4"/>
        <v>8.84065</v>
      </c>
      <c r="P9" s="38">
        <f t="shared" si="4"/>
        <v>8.84065</v>
      </c>
      <c r="Q9" s="38">
        <f t="shared" si="4"/>
        <v>8.84065</v>
      </c>
      <c r="R9" s="38">
        <f t="shared" si="4"/>
        <v>8.84065</v>
      </c>
      <c r="S9" s="38">
        <f t="shared" si="4"/>
        <v>8.84065</v>
      </c>
      <c r="T9" s="38">
        <f t="shared" si="0"/>
        <v>146.4645</v>
      </c>
    </row>
    <row r="10" customFormat="1" ht="14.25" spans="1:20">
      <c r="A10" s="41" t="s">
        <v>59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</row>
    <row r="11" customFormat="1"/>
    <row r="12" customFormat="1" spans="1:20">
      <c r="A12" t="s">
        <v>60</v>
      </c>
    </row>
    <row r="13" customFormat="1" spans="1:20">
      <c r="A13" t="s">
        <v>61</v>
      </c>
    </row>
    <row r="14" customFormat="1" spans="1:20">
      <c r="A14" s="16" t="s">
        <v>62</v>
      </c>
      <c r="B14" s="16"/>
    </row>
    <row r="15" customFormat="1" spans="1:20">
      <c r="A15" s="16" t="s">
        <v>63</v>
      </c>
      <c r="B15" s="16"/>
    </row>
    <row r="16" customFormat="1" spans="1:20">
      <c r="A16" s="16" t="s">
        <v>64</v>
      </c>
      <c r="B16" s="16" t="s">
        <v>65</v>
      </c>
    </row>
    <row r="17" customFormat="1" spans="1:20">
      <c r="A17" s="16"/>
      <c r="B17" s="16"/>
    </row>
    <row r="18" customFormat="1" spans="1:20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 customFormat="1"/>
    <row r="20" customFormat="1" ht="20.25" spans="1:20">
      <c r="A20" s="32" t="s">
        <v>36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4"/>
    </row>
    <row r="21" customFormat="1" ht="14.25" spans="1:20">
      <c r="A21" s="35" t="s">
        <v>37</v>
      </c>
      <c r="B21" s="35" t="s">
        <v>38</v>
      </c>
      <c r="C21" s="35" t="s">
        <v>39</v>
      </c>
      <c r="D21" s="35" t="s">
        <v>40</v>
      </c>
      <c r="E21" s="35" t="s">
        <v>41</v>
      </c>
      <c r="F21" s="35" t="s">
        <v>42</v>
      </c>
      <c r="G21" s="35" t="s">
        <v>43</v>
      </c>
      <c r="H21" s="35" t="s">
        <v>44</v>
      </c>
      <c r="I21" s="35" t="s">
        <v>45</v>
      </c>
      <c r="J21" s="35" t="s">
        <v>46</v>
      </c>
      <c r="K21" s="35" t="s">
        <v>47</v>
      </c>
      <c r="L21" s="35" t="s">
        <v>48</v>
      </c>
      <c r="M21" s="35" t="s">
        <v>49</v>
      </c>
      <c r="N21" s="35" t="s">
        <v>50</v>
      </c>
      <c r="O21" s="35" t="s">
        <v>51</v>
      </c>
      <c r="P21" s="35" t="s">
        <v>40</v>
      </c>
      <c r="Q21" s="35" t="s">
        <v>41</v>
      </c>
      <c r="R21" s="35" t="s">
        <v>42</v>
      </c>
      <c r="S21" s="35" t="s">
        <v>43</v>
      </c>
      <c r="T21" s="35" t="s">
        <v>8</v>
      </c>
    </row>
    <row r="22" customFormat="1" ht="14.25" spans="1:20">
      <c r="A22" s="36">
        <v>1</v>
      </c>
      <c r="B22" s="24" t="s">
        <v>52</v>
      </c>
      <c r="C22" s="37">
        <v>20</v>
      </c>
      <c r="D22" s="37">
        <v>20</v>
      </c>
      <c r="E22" s="37">
        <v>20</v>
      </c>
      <c r="F22" s="37">
        <v>20</v>
      </c>
      <c r="G22" s="37">
        <v>20</v>
      </c>
      <c r="H22" s="37">
        <v>20</v>
      </c>
      <c r="I22" s="37">
        <v>20</v>
      </c>
      <c r="J22" s="37">
        <v>20</v>
      </c>
      <c r="K22" s="37">
        <v>20</v>
      </c>
      <c r="L22" s="37">
        <v>20</v>
      </c>
      <c r="M22" s="37">
        <v>20</v>
      </c>
      <c r="N22" s="37">
        <v>20</v>
      </c>
      <c r="O22" s="37">
        <v>20</v>
      </c>
      <c r="P22" s="37">
        <v>20</v>
      </c>
      <c r="Q22" s="37">
        <v>20</v>
      </c>
      <c r="R22" s="37">
        <v>20</v>
      </c>
      <c r="S22" s="37">
        <v>20</v>
      </c>
      <c r="T22" s="37">
        <f t="shared" ref="T22:T27" si="5">SUM(C22:S22)</f>
        <v>340</v>
      </c>
    </row>
    <row r="23" customFormat="1" ht="14.25" spans="1:20">
      <c r="A23" s="36">
        <v>2</v>
      </c>
      <c r="B23" s="24" t="s">
        <v>53</v>
      </c>
      <c r="C23" s="38">
        <f t="shared" ref="C23:S23" si="6">81.66/12</f>
        <v>6.805</v>
      </c>
      <c r="D23" s="38">
        <f t="shared" si="6"/>
        <v>6.805</v>
      </c>
      <c r="E23" s="38">
        <f t="shared" si="6"/>
        <v>6.805</v>
      </c>
      <c r="F23" s="38">
        <f t="shared" si="6"/>
        <v>6.805</v>
      </c>
      <c r="G23" s="38">
        <f t="shared" si="6"/>
        <v>6.805</v>
      </c>
      <c r="H23" s="38">
        <f t="shared" si="6"/>
        <v>6.805</v>
      </c>
      <c r="I23" s="38">
        <f t="shared" si="6"/>
        <v>6.805</v>
      </c>
      <c r="J23" s="38">
        <f t="shared" si="6"/>
        <v>6.805</v>
      </c>
      <c r="K23" s="38">
        <f t="shared" si="6"/>
        <v>6.805</v>
      </c>
      <c r="L23" s="38">
        <f t="shared" si="6"/>
        <v>6.805</v>
      </c>
      <c r="M23" s="38">
        <f t="shared" si="6"/>
        <v>6.805</v>
      </c>
      <c r="N23" s="38">
        <f t="shared" si="6"/>
        <v>6.805</v>
      </c>
      <c r="O23" s="38">
        <f t="shared" si="6"/>
        <v>6.805</v>
      </c>
      <c r="P23" s="38">
        <f t="shared" si="6"/>
        <v>6.805</v>
      </c>
      <c r="Q23" s="38">
        <f t="shared" si="6"/>
        <v>6.805</v>
      </c>
      <c r="R23" s="38">
        <f t="shared" si="6"/>
        <v>6.805</v>
      </c>
      <c r="S23" s="38">
        <f t="shared" si="6"/>
        <v>6.805</v>
      </c>
      <c r="T23" s="38">
        <f t="shared" si="5"/>
        <v>115.685</v>
      </c>
    </row>
    <row r="24" customFormat="1" ht="14.25" spans="1:20">
      <c r="A24" s="36">
        <v>3</v>
      </c>
      <c r="B24" s="24" t="s">
        <v>66</v>
      </c>
      <c r="C24" s="44">
        <v>5000</v>
      </c>
      <c r="D24" s="44">
        <v>5000</v>
      </c>
      <c r="E24" s="44">
        <v>5000</v>
      </c>
      <c r="F24" s="44">
        <v>5000</v>
      </c>
      <c r="G24" s="44">
        <v>5000</v>
      </c>
      <c r="H24" s="44">
        <v>5000</v>
      </c>
      <c r="I24" s="44">
        <v>5000</v>
      </c>
      <c r="J24" s="44">
        <v>5000</v>
      </c>
      <c r="K24" s="44">
        <v>5000</v>
      </c>
      <c r="L24" s="44">
        <v>5000</v>
      </c>
      <c r="M24" s="44">
        <v>5000</v>
      </c>
      <c r="N24" s="44">
        <v>5000</v>
      </c>
      <c r="O24" s="44">
        <v>5000</v>
      </c>
      <c r="P24" s="44">
        <v>5000</v>
      </c>
      <c r="Q24" s="44">
        <v>5000</v>
      </c>
      <c r="R24" s="44">
        <v>5000</v>
      </c>
      <c r="S24" s="44">
        <v>5000</v>
      </c>
      <c r="T24" s="38"/>
    </row>
    <row r="25" customFormat="1" ht="14.25" spans="1:20">
      <c r="A25" s="36">
        <v>4</v>
      </c>
      <c r="B25" s="24" t="s">
        <v>67</v>
      </c>
      <c r="C25" s="38">
        <v>29</v>
      </c>
      <c r="D25" s="38">
        <v>29</v>
      </c>
      <c r="E25" s="38">
        <v>29</v>
      </c>
      <c r="F25" s="38">
        <v>29</v>
      </c>
      <c r="G25" s="38">
        <v>29</v>
      </c>
      <c r="H25" s="38">
        <v>29</v>
      </c>
      <c r="I25" s="38">
        <v>29</v>
      </c>
      <c r="J25" s="38">
        <v>29</v>
      </c>
      <c r="K25" s="38">
        <v>29</v>
      </c>
      <c r="L25" s="38">
        <v>29</v>
      </c>
      <c r="M25" s="38">
        <v>29</v>
      </c>
      <c r="N25" s="38">
        <v>29</v>
      </c>
      <c r="O25" s="38">
        <v>29</v>
      </c>
      <c r="P25" s="38">
        <v>29</v>
      </c>
      <c r="Q25" s="38">
        <v>29</v>
      </c>
      <c r="R25" s="38">
        <v>29</v>
      </c>
      <c r="S25" s="38">
        <v>29</v>
      </c>
      <c r="T25" s="38"/>
    </row>
    <row r="26" customFormat="1" ht="14.25" spans="1:20">
      <c r="A26" s="36">
        <v>5</v>
      </c>
      <c r="B26" s="24" t="s">
        <v>68</v>
      </c>
      <c r="C26" s="38">
        <f t="shared" ref="C26:S26" si="7">C24*C25/10000</f>
        <v>14.5</v>
      </c>
      <c r="D26" s="38">
        <f t="shared" si="7"/>
        <v>14.5</v>
      </c>
      <c r="E26" s="38">
        <f t="shared" si="7"/>
        <v>14.5</v>
      </c>
      <c r="F26" s="38">
        <f t="shared" si="7"/>
        <v>14.5</v>
      </c>
      <c r="G26" s="38">
        <f t="shared" si="7"/>
        <v>14.5</v>
      </c>
      <c r="H26" s="38">
        <f t="shared" si="7"/>
        <v>14.5</v>
      </c>
      <c r="I26" s="38">
        <f t="shared" si="7"/>
        <v>14.5</v>
      </c>
      <c r="J26" s="38">
        <f t="shared" si="7"/>
        <v>14.5</v>
      </c>
      <c r="K26" s="38">
        <f t="shared" si="7"/>
        <v>14.5</v>
      </c>
      <c r="L26" s="38">
        <f t="shared" si="7"/>
        <v>14.5</v>
      </c>
      <c r="M26" s="38">
        <f t="shared" si="7"/>
        <v>14.5</v>
      </c>
      <c r="N26" s="38">
        <f t="shared" si="7"/>
        <v>14.5</v>
      </c>
      <c r="O26" s="38">
        <f t="shared" si="7"/>
        <v>14.5</v>
      </c>
      <c r="P26" s="38">
        <f t="shared" si="7"/>
        <v>14.5</v>
      </c>
      <c r="Q26" s="38">
        <f t="shared" si="7"/>
        <v>14.5</v>
      </c>
      <c r="R26" s="38">
        <f t="shared" si="7"/>
        <v>14.5</v>
      </c>
      <c r="S26" s="38">
        <f t="shared" si="7"/>
        <v>14.5</v>
      </c>
      <c r="T26" s="38">
        <f t="shared" si="5"/>
        <v>246.5</v>
      </c>
    </row>
    <row r="27" customFormat="1" ht="14.25" spans="1:20">
      <c r="A27" s="36">
        <v>6</v>
      </c>
      <c r="B27" s="24" t="s">
        <v>54</v>
      </c>
      <c r="C27" s="38">
        <f t="shared" ref="C27:S27" si="8">C26-C23</f>
        <v>7.695</v>
      </c>
      <c r="D27" s="38">
        <f t="shared" si="8"/>
        <v>7.695</v>
      </c>
      <c r="E27" s="38">
        <f t="shared" si="8"/>
        <v>7.695</v>
      </c>
      <c r="F27" s="38">
        <f t="shared" si="8"/>
        <v>7.695</v>
      </c>
      <c r="G27" s="38">
        <f t="shared" si="8"/>
        <v>7.695</v>
      </c>
      <c r="H27" s="38">
        <f t="shared" si="8"/>
        <v>7.695</v>
      </c>
      <c r="I27" s="38">
        <f t="shared" si="8"/>
        <v>7.695</v>
      </c>
      <c r="J27" s="38">
        <f t="shared" si="8"/>
        <v>7.695</v>
      </c>
      <c r="K27" s="38">
        <f t="shared" si="8"/>
        <v>7.695</v>
      </c>
      <c r="L27" s="38">
        <f t="shared" si="8"/>
        <v>7.695</v>
      </c>
      <c r="M27" s="38">
        <f t="shared" si="8"/>
        <v>7.695</v>
      </c>
      <c r="N27" s="38">
        <f t="shared" si="8"/>
        <v>7.695</v>
      </c>
      <c r="O27" s="38">
        <f t="shared" si="8"/>
        <v>7.695</v>
      </c>
      <c r="P27" s="38">
        <f t="shared" si="8"/>
        <v>7.695</v>
      </c>
      <c r="Q27" s="38">
        <f t="shared" si="8"/>
        <v>7.695</v>
      </c>
      <c r="R27" s="38">
        <f t="shared" si="8"/>
        <v>7.695</v>
      </c>
      <c r="S27" s="38">
        <f t="shared" si="8"/>
        <v>7.695</v>
      </c>
      <c r="T27" s="38">
        <f t="shared" si="5"/>
        <v>130.815</v>
      </c>
    </row>
    <row r="28" customFormat="1" ht="14.25" spans="1:20">
      <c r="A28" s="36">
        <v>7</v>
      </c>
      <c r="B28" s="24" t="s">
        <v>55</v>
      </c>
      <c r="C28" s="39">
        <v>0.5</v>
      </c>
      <c r="D28" s="39">
        <v>0.5</v>
      </c>
      <c r="E28" s="39">
        <v>0.5</v>
      </c>
      <c r="F28" s="39">
        <v>0.5</v>
      </c>
      <c r="G28" s="39">
        <v>0.5</v>
      </c>
      <c r="H28" s="39">
        <v>0.5</v>
      </c>
      <c r="I28" s="39">
        <v>0.5</v>
      </c>
      <c r="J28" s="39">
        <v>0.5</v>
      </c>
      <c r="K28" s="39">
        <v>0.5</v>
      </c>
      <c r="L28" s="39">
        <v>0.5</v>
      </c>
      <c r="M28" s="39">
        <v>0.5</v>
      </c>
      <c r="N28" s="39">
        <v>0.5</v>
      </c>
      <c r="O28" s="39">
        <v>0.5</v>
      </c>
      <c r="P28" s="39">
        <v>0.5</v>
      </c>
      <c r="Q28" s="39">
        <v>0.5</v>
      </c>
      <c r="R28" s="39">
        <v>0.5</v>
      </c>
      <c r="S28" s="39">
        <v>0.5</v>
      </c>
      <c r="T28" s="38"/>
    </row>
    <row r="29" customFormat="1" ht="14.25" spans="1:20">
      <c r="A29" s="36">
        <v>8</v>
      </c>
      <c r="B29" s="24" t="s">
        <v>56</v>
      </c>
      <c r="C29" s="40">
        <v>0.95</v>
      </c>
      <c r="D29" s="40">
        <v>0.95</v>
      </c>
      <c r="E29" s="39">
        <v>0.66</v>
      </c>
      <c r="F29" s="39">
        <v>0.66</v>
      </c>
      <c r="G29" s="39">
        <v>0.66</v>
      </c>
      <c r="H29" s="39">
        <v>0.66</v>
      </c>
      <c r="I29" s="39">
        <v>0.66</v>
      </c>
      <c r="J29" s="39">
        <v>0.66</v>
      </c>
      <c r="K29" s="39">
        <v>0.66</v>
      </c>
      <c r="L29" s="39">
        <v>0.66</v>
      </c>
      <c r="M29" s="39">
        <v>0.66</v>
      </c>
      <c r="N29" s="39">
        <v>0.66</v>
      </c>
      <c r="O29" s="39">
        <v>0.66</v>
      </c>
      <c r="P29" s="39">
        <v>0.66</v>
      </c>
      <c r="Q29" s="39">
        <v>0.66</v>
      </c>
      <c r="R29" s="39">
        <v>0.66</v>
      </c>
      <c r="S29" s="39">
        <v>0.66</v>
      </c>
      <c r="T29" s="38"/>
    </row>
    <row r="30" customFormat="1" ht="14.25" spans="1:20">
      <c r="A30" s="36">
        <v>9</v>
      </c>
      <c r="B30" s="37" t="s">
        <v>57</v>
      </c>
      <c r="C30" s="38">
        <f t="shared" ref="C30:S30" si="9">C27*C28*C29</f>
        <v>3.655125</v>
      </c>
      <c r="D30" s="38">
        <f t="shared" si="9"/>
        <v>3.655125</v>
      </c>
      <c r="E30" s="38">
        <f t="shared" si="9"/>
        <v>2.53935</v>
      </c>
      <c r="F30" s="38">
        <f t="shared" si="9"/>
        <v>2.53935</v>
      </c>
      <c r="G30" s="38">
        <f t="shared" si="9"/>
        <v>2.53935</v>
      </c>
      <c r="H30" s="38">
        <f t="shared" si="9"/>
        <v>2.53935</v>
      </c>
      <c r="I30" s="38">
        <f t="shared" si="9"/>
        <v>2.53935</v>
      </c>
      <c r="J30" s="38">
        <f t="shared" si="9"/>
        <v>2.53935</v>
      </c>
      <c r="K30" s="38">
        <f t="shared" si="9"/>
        <v>2.53935</v>
      </c>
      <c r="L30" s="38">
        <f t="shared" si="9"/>
        <v>2.53935</v>
      </c>
      <c r="M30" s="38">
        <f t="shared" si="9"/>
        <v>2.53935</v>
      </c>
      <c r="N30" s="38">
        <f t="shared" si="9"/>
        <v>2.53935</v>
      </c>
      <c r="O30" s="38">
        <f t="shared" si="9"/>
        <v>2.53935</v>
      </c>
      <c r="P30" s="38">
        <f t="shared" si="9"/>
        <v>2.53935</v>
      </c>
      <c r="Q30" s="38">
        <f t="shared" si="9"/>
        <v>2.53935</v>
      </c>
      <c r="R30" s="38">
        <f t="shared" si="9"/>
        <v>2.53935</v>
      </c>
      <c r="S30" s="38">
        <f t="shared" si="9"/>
        <v>2.53935</v>
      </c>
      <c r="T30" s="38">
        <f>SUM(C30:S30)</f>
        <v>45.4005</v>
      </c>
    </row>
    <row r="31" customFormat="1" ht="14.25" spans="1:20">
      <c r="A31" s="36">
        <v>10</v>
      </c>
      <c r="B31" s="37" t="s">
        <v>58</v>
      </c>
      <c r="C31" s="38">
        <f t="shared" ref="C31:S31" si="10">C22-C23-C30</f>
        <v>9.539875</v>
      </c>
      <c r="D31" s="38">
        <f t="shared" si="10"/>
        <v>9.539875</v>
      </c>
      <c r="E31" s="38">
        <f t="shared" si="10"/>
        <v>10.65565</v>
      </c>
      <c r="F31" s="38">
        <f t="shared" si="10"/>
        <v>10.65565</v>
      </c>
      <c r="G31" s="38">
        <f t="shared" si="10"/>
        <v>10.65565</v>
      </c>
      <c r="H31" s="38">
        <f t="shared" si="10"/>
        <v>10.65565</v>
      </c>
      <c r="I31" s="38">
        <f t="shared" si="10"/>
        <v>10.65565</v>
      </c>
      <c r="J31" s="38">
        <f t="shared" si="10"/>
        <v>10.65565</v>
      </c>
      <c r="K31" s="38">
        <f t="shared" si="10"/>
        <v>10.65565</v>
      </c>
      <c r="L31" s="38">
        <f t="shared" si="10"/>
        <v>10.65565</v>
      </c>
      <c r="M31" s="38">
        <f t="shared" si="10"/>
        <v>10.65565</v>
      </c>
      <c r="N31" s="38">
        <f t="shared" si="10"/>
        <v>10.65565</v>
      </c>
      <c r="O31" s="38">
        <f t="shared" si="10"/>
        <v>10.65565</v>
      </c>
      <c r="P31" s="38">
        <f t="shared" si="10"/>
        <v>10.65565</v>
      </c>
      <c r="Q31" s="38">
        <f t="shared" si="10"/>
        <v>10.65565</v>
      </c>
      <c r="R31" s="38">
        <f t="shared" si="10"/>
        <v>10.65565</v>
      </c>
      <c r="S31" s="38">
        <f t="shared" si="10"/>
        <v>10.65565</v>
      </c>
      <c r="T31" s="38">
        <f>SUM(C31:S31)</f>
        <v>178.9145</v>
      </c>
    </row>
    <row r="32" customFormat="1" ht="14.25" spans="1:20">
      <c r="A32" s="41" t="s">
        <v>69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</row>
    <row r="33" customFormat="1" spans="1:1">
      <c r="A33" t="s">
        <v>70</v>
      </c>
    </row>
  </sheetData>
  <mergeCells count="2">
    <mergeCell ref="A1:T1"/>
    <mergeCell ref="A20:T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E23"/>
  <sheetViews>
    <sheetView topLeftCell="C1" workbookViewId="0">
      <selection activeCell="AD4" sqref="AD4:AD20"/>
    </sheetView>
  </sheetViews>
  <sheetFormatPr defaultColWidth="8.875" defaultRowHeight="13.5"/>
  <cols>
    <col min="1" max="2" width="8.875" style="16" hidden="1" customWidth="1"/>
    <col min="3" max="3" width="12.25" style="16" customWidth="1"/>
    <col min="4" max="4" width="13.25" style="16" hidden="1" customWidth="1" outlineLevel="1"/>
    <col min="5" max="8" width="12.25" style="16" hidden="1" customWidth="1" outlineLevel="1"/>
    <col min="9" max="9" width="15.125" style="16" customWidth="1" collapsed="1"/>
    <col min="10" max="10" width="15.125" style="16" hidden="1" customWidth="1" outlineLevel="1"/>
    <col min="11" max="19" width="14.375" style="16" hidden="1" customWidth="1" outlineLevel="1"/>
    <col min="20" max="20" width="14.375" style="16" customWidth="1" collapsed="1"/>
    <col min="21" max="21" width="14.375" style="16" customWidth="1"/>
    <col min="22" max="26" width="14.375" style="16" hidden="1" customWidth="1" outlineLevel="1"/>
    <col min="27" max="27" width="17" style="16" customWidth="1" collapsed="1"/>
    <col min="28" max="28" width="15" style="16" customWidth="1"/>
    <col min="29" max="29" width="14.5" style="16" customWidth="1"/>
    <col min="30" max="30" width="14.375" style="16" customWidth="1"/>
    <col min="31" max="31" width="13.875" style="16" customWidth="1"/>
    <col min="32" max="34" width="14.375" style="16" customWidth="1"/>
    <col min="35" max="16384" width="8.875" style="16"/>
  </cols>
  <sheetData>
    <row r="1" s="16" customFormat="1" spans="1:31">
      <c r="C1" s="17" t="s">
        <v>71</v>
      </c>
      <c r="D1" s="18" t="s">
        <v>72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20"/>
      <c r="AB1" s="17" t="s">
        <v>73</v>
      </c>
      <c r="AC1" s="21" t="s">
        <v>74</v>
      </c>
      <c r="AD1" s="22"/>
      <c r="AE1" s="23"/>
    </row>
    <row r="2" s="16" customFormat="1" spans="1:31">
      <c r="A2" s="16" t="s">
        <v>75</v>
      </c>
      <c r="B2" s="16" t="s">
        <v>76</v>
      </c>
      <c r="C2" s="17"/>
      <c r="D2" s="24" t="s">
        <v>77</v>
      </c>
      <c r="E2" s="24" t="s">
        <v>78</v>
      </c>
      <c r="F2" s="24" t="s">
        <v>79</v>
      </c>
      <c r="G2" s="24" t="s">
        <v>80</v>
      </c>
      <c r="H2" s="24" t="s">
        <v>81</v>
      </c>
      <c r="I2" s="24" t="s">
        <v>82</v>
      </c>
      <c r="J2" s="24" t="s">
        <v>83</v>
      </c>
      <c r="K2" s="24" t="s">
        <v>84</v>
      </c>
      <c r="L2" s="24" t="s">
        <v>85</v>
      </c>
      <c r="M2" s="24" t="s">
        <v>86</v>
      </c>
      <c r="N2" s="24" t="s">
        <v>87</v>
      </c>
      <c r="O2" s="24" t="s">
        <v>88</v>
      </c>
      <c r="P2" s="24" t="s">
        <v>89</v>
      </c>
      <c r="Q2" s="24" t="s">
        <v>90</v>
      </c>
      <c r="R2" s="24" t="s">
        <v>91</v>
      </c>
      <c r="S2" s="24" t="s">
        <v>92</v>
      </c>
      <c r="T2" s="24" t="s">
        <v>93</v>
      </c>
      <c r="U2" s="24" t="s">
        <v>94</v>
      </c>
      <c r="V2" s="24" t="s">
        <v>95</v>
      </c>
      <c r="W2" s="24" t="s">
        <v>96</v>
      </c>
      <c r="X2" s="24" t="s">
        <v>97</v>
      </c>
      <c r="Y2" s="24" t="s">
        <v>98</v>
      </c>
      <c r="Z2" s="24" t="s">
        <v>99</v>
      </c>
      <c r="AA2" s="24" t="s">
        <v>100</v>
      </c>
      <c r="AB2" s="17"/>
      <c r="AC2" s="21"/>
      <c r="AD2" s="22"/>
      <c r="AE2" s="25"/>
    </row>
    <row r="3" s="16" customFormat="1" spans="1:31">
      <c r="A3" s="25">
        <f>IF(([2]原始数据录入!$L$17-[2]租赁后续计量表!C3)&gt;=0,1,0)</f>
        <v>0</v>
      </c>
      <c r="B3" s="25">
        <f>IF(([2]原始数据录入!$L$18-[2]租赁后续计量表!C3)&gt;=0,2,0)</f>
        <v>0</v>
      </c>
      <c r="C3" s="26">
        <f>[2]租赁初始计量表!D40</f>
        <v>46235</v>
      </c>
      <c r="D3" s="24"/>
      <c r="E3" s="24"/>
      <c r="F3" s="24"/>
      <c r="G3" s="24"/>
      <c r="H3" s="24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>
        <v>576208.63</v>
      </c>
      <c r="W3" s="27">
        <v>0</v>
      </c>
      <c r="X3" s="27">
        <v>0</v>
      </c>
      <c r="Y3" s="27">
        <v>0</v>
      </c>
      <c r="Z3" s="27">
        <v>0</v>
      </c>
      <c r="AA3" s="27">
        <v>576208.63</v>
      </c>
      <c r="AB3" s="28"/>
      <c r="AC3" s="28"/>
      <c r="AE3" s="25"/>
    </row>
    <row r="4" s="16" customFormat="1" spans="1:31">
      <c r="A4" s="25">
        <f>IF(([2]原始数据录入!$L$17-[2]租赁后续计量表!C4)&gt;=0,1,0)</f>
        <v>0</v>
      </c>
      <c r="B4" s="25">
        <f>IF(([2]原始数据录入!$L$18-[2]租赁后续计量表!C4)&gt;=0,2,0)</f>
        <v>0</v>
      </c>
      <c r="C4" s="26">
        <f>[2]租赁初始计量表!D41</f>
        <v>46265</v>
      </c>
      <c r="D4" s="28">
        <f t="shared" ref="D4:H4" si="0">ROUND(V3,2)</f>
        <v>576208.63</v>
      </c>
      <c r="E4" s="28">
        <f t="shared" si="0"/>
        <v>0</v>
      </c>
      <c r="F4" s="28">
        <f t="shared" si="0"/>
        <v>0</v>
      </c>
      <c r="G4" s="28">
        <f t="shared" si="0"/>
        <v>0</v>
      </c>
      <c r="H4" s="28">
        <f t="shared" si="0"/>
        <v>0</v>
      </c>
      <c r="I4" s="27">
        <v>576208.63</v>
      </c>
      <c r="J4" s="27">
        <v>34557.52</v>
      </c>
      <c r="K4" s="27">
        <v>1244.61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9">
        <v>34557.52</v>
      </c>
      <c r="U4" s="29">
        <v>1244.61</v>
      </c>
      <c r="V4" s="27">
        <v>542895.72</v>
      </c>
      <c r="W4" s="27">
        <v>0</v>
      </c>
      <c r="X4" s="27">
        <v>0</v>
      </c>
      <c r="Y4" s="27">
        <v>0</v>
      </c>
      <c r="Z4" s="27">
        <v>0</v>
      </c>
      <c r="AA4" s="27">
        <v>542895.72</v>
      </c>
      <c r="AB4" s="28">
        <v>31290.68</v>
      </c>
      <c r="AC4" s="28">
        <f>(U4+AB4)/10000</f>
        <v>3.253529</v>
      </c>
      <c r="AD4" s="16">
        <v>3.253529</v>
      </c>
    </row>
    <row r="5" s="16" customFormat="1" spans="1:31">
      <c r="A5" s="25">
        <f>IF(([2]原始数据录入!$L$17-[2]租赁后续计量表!C5)&gt;=0,1,0)</f>
        <v>0</v>
      </c>
      <c r="B5" s="25">
        <f>IF(([2]原始数据录入!$L$18-[2]租赁后续计量表!C5)&gt;=0,2,0)</f>
        <v>0</v>
      </c>
      <c r="C5" s="26">
        <f>[2]租赁初始计量表!D42</f>
        <v>46295</v>
      </c>
      <c r="D5" s="28">
        <f t="shared" ref="D5:H5" si="1">ROUND(V4,2)</f>
        <v>542895.72</v>
      </c>
      <c r="E5" s="28">
        <f t="shared" si="1"/>
        <v>0</v>
      </c>
      <c r="F5" s="28">
        <f t="shared" si="1"/>
        <v>0</v>
      </c>
      <c r="G5" s="28">
        <f t="shared" si="1"/>
        <v>0</v>
      </c>
      <c r="H5" s="28">
        <f t="shared" si="1"/>
        <v>0</v>
      </c>
      <c r="I5" s="27">
        <v>542895.72</v>
      </c>
      <c r="J5" s="27">
        <v>34557.52</v>
      </c>
      <c r="K5" s="27">
        <v>1172.65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9">
        <v>34557.52</v>
      </c>
      <c r="U5" s="29">
        <v>1172.65</v>
      </c>
      <c r="V5" s="27">
        <v>509510.85</v>
      </c>
      <c r="W5" s="27">
        <v>0</v>
      </c>
      <c r="X5" s="27">
        <v>0</v>
      </c>
      <c r="Y5" s="27">
        <v>0</v>
      </c>
      <c r="Z5" s="27">
        <v>0</v>
      </c>
      <c r="AA5" s="27">
        <v>509510.85</v>
      </c>
      <c r="AB5" s="28">
        <v>31290.68</v>
      </c>
      <c r="AC5" s="28">
        <f t="shared" ref="AC5:AC20" si="2">(U5+AB5)/10000</f>
        <v>3.246333</v>
      </c>
      <c r="AD5" s="16">
        <v>3.246333</v>
      </c>
    </row>
    <row r="6" s="16" customFormat="1" spans="1:31">
      <c r="A6" s="25">
        <f>IF(([2]原始数据录入!$L$17-[2]租赁后续计量表!C6)&gt;=0,1,0)</f>
        <v>0</v>
      </c>
      <c r="B6" s="25">
        <f>IF(([2]原始数据录入!$L$18-[2]租赁后续计量表!C6)&gt;=0,2,0)</f>
        <v>0</v>
      </c>
      <c r="C6" s="26">
        <f>[2]租赁初始计量表!D43</f>
        <v>46326</v>
      </c>
      <c r="D6" s="28">
        <f t="shared" ref="D6:H6" si="3">ROUND(V5,2)</f>
        <v>509510.85</v>
      </c>
      <c r="E6" s="28">
        <f t="shared" si="3"/>
        <v>0</v>
      </c>
      <c r="F6" s="28">
        <f t="shared" si="3"/>
        <v>0</v>
      </c>
      <c r="G6" s="28">
        <f t="shared" si="3"/>
        <v>0</v>
      </c>
      <c r="H6" s="28">
        <f t="shared" si="3"/>
        <v>0</v>
      </c>
      <c r="I6" s="27">
        <v>509510.85</v>
      </c>
      <c r="J6" s="27">
        <v>34557.52</v>
      </c>
      <c r="K6" s="27">
        <v>1100.54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34557.52</v>
      </c>
      <c r="U6" s="27">
        <v>1100.54</v>
      </c>
      <c r="V6" s="27">
        <v>476053.87</v>
      </c>
      <c r="W6" s="27">
        <v>0</v>
      </c>
      <c r="X6" s="27">
        <v>0</v>
      </c>
      <c r="Y6" s="27">
        <v>0</v>
      </c>
      <c r="Z6" s="27">
        <v>0</v>
      </c>
      <c r="AA6" s="27">
        <v>476053.87</v>
      </c>
      <c r="AB6" s="28">
        <v>31290.68</v>
      </c>
      <c r="AC6" s="28">
        <f t="shared" si="2"/>
        <v>3.239122</v>
      </c>
      <c r="AD6" s="16">
        <v>3.239122</v>
      </c>
    </row>
    <row r="7" s="16" customFormat="1" spans="1:31">
      <c r="A7" s="25">
        <f>IF(([2]原始数据录入!$L$17-[2]租赁后续计量表!C7)&gt;=0,1,0)</f>
        <v>0</v>
      </c>
      <c r="B7" s="25">
        <f>IF(([2]原始数据录入!$L$18-[2]租赁后续计量表!C7)&gt;=0,2,0)</f>
        <v>0</v>
      </c>
      <c r="C7" s="26">
        <f>[2]租赁初始计量表!D44</f>
        <v>46356</v>
      </c>
      <c r="D7" s="28">
        <f t="shared" ref="D7:H7" si="4">ROUND(V6,2)</f>
        <v>476053.87</v>
      </c>
      <c r="E7" s="28">
        <f t="shared" si="4"/>
        <v>0</v>
      </c>
      <c r="F7" s="28">
        <f t="shared" si="4"/>
        <v>0</v>
      </c>
      <c r="G7" s="28">
        <f t="shared" si="4"/>
        <v>0</v>
      </c>
      <c r="H7" s="28">
        <f t="shared" si="4"/>
        <v>0</v>
      </c>
      <c r="I7" s="27">
        <v>476053.87</v>
      </c>
      <c r="J7" s="27">
        <v>34557.52</v>
      </c>
      <c r="K7" s="27">
        <v>1028.28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34557.52</v>
      </c>
      <c r="U7" s="27">
        <v>1028.28</v>
      </c>
      <c r="V7" s="27">
        <v>442524.63</v>
      </c>
      <c r="W7" s="27">
        <v>0</v>
      </c>
      <c r="X7" s="27">
        <v>0</v>
      </c>
      <c r="Y7" s="27">
        <v>0</v>
      </c>
      <c r="Z7" s="27">
        <v>0</v>
      </c>
      <c r="AA7" s="27">
        <v>442524.63</v>
      </c>
      <c r="AB7" s="28">
        <v>31290.68</v>
      </c>
      <c r="AC7" s="28">
        <f t="shared" si="2"/>
        <v>3.231896</v>
      </c>
      <c r="AD7" s="16">
        <v>3.231896</v>
      </c>
    </row>
    <row r="8" s="16" customFormat="1" spans="1:31">
      <c r="A8" s="25">
        <f>IF(([2]原始数据录入!$L$17-[2]租赁后续计量表!C8)&gt;=0,1,0)</f>
        <v>0</v>
      </c>
      <c r="B8" s="25">
        <f>IF(([2]原始数据录入!$L$18-[2]租赁后续计量表!C8)&gt;=0,2,0)</f>
        <v>0</v>
      </c>
      <c r="C8" s="26">
        <f>[2]租赁初始计量表!D45</f>
        <v>46387</v>
      </c>
      <c r="D8" s="28">
        <f t="shared" ref="D8:H8" si="5">ROUND(V7,2)</f>
        <v>442524.63</v>
      </c>
      <c r="E8" s="28">
        <f t="shared" si="5"/>
        <v>0</v>
      </c>
      <c r="F8" s="28">
        <f t="shared" si="5"/>
        <v>0</v>
      </c>
      <c r="G8" s="28">
        <f t="shared" si="5"/>
        <v>0</v>
      </c>
      <c r="H8" s="28">
        <f t="shared" si="5"/>
        <v>0</v>
      </c>
      <c r="I8" s="27">
        <v>442524.63</v>
      </c>
      <c r="J8" s="27">
        <v>34557.52</v>
      </c>
      <c r="K8" s="27">
        <v>955.85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34557.52</v>
      </c>
      <c r="U8" s="27">
        <v>955.85</v>
      </c>
      <c r="V8" s="27">
        <v>408922.96</v>
      </c>
      <c r="W8" s="27">
        <v>0</v>
      </c>
      <c r="X8" s="27">
        <v>0</v>
      </c>
      <c r="Y8" s="27">
        <v>0</v>
      </c>
      <c r="Z8" s="27">
        <v>0</v>
      </c>
      <c r="AA8" s="27">
        <v>408922.96</v>
      </c>
      <c r="AB8" s="28">
        <v>31290.68</v>
      </c>
      <c r="AC8" s="28">
        <f t="shared" si="2"/>
        <v>3.224653</v>
      </c>
      <c r="AD8" s="16">
        <v>3.224653</v>
      </c>
    </row>
    <row r="9" s="16" customFormat="1" spans="1:31">
      <c r="A9" s="25">
        <f>IF(([2]原始数据录入!$L$17-[2]租赁后续计量表!C9)&gt;=0,1,0)</f>
        <v>0</v>
      </c>
      <c r="B9" s="25">
        <f>IF(([2]原始数据录入!$L$18-[2]租赁后续计量表!C9)&gt;=0,2,0)</f>
        <v>0</v>
      </c>
      <c r="C9" s="26">
        <f>[2]租赁初始计量表!D46</f>
        <v>46418</v>
      </c>
      <c r="D9" s="28">
        <f t="shared" ref="D9:H9" si="6">ROUND(V8,2)</f>
        <v>408922.96</v>
      </c>
      <c r="E9" s="28">
        <f t="shared" si="6"/>
        <v>0</v>
      </c>
      <c r="F9" s="28">
        <f t="shared" si="6"/>
        <v>0</v>
      </c>
      <c r="G9" s="28">
        <f t="shared" si="6"/>
        <v>0</v>
      </c>
      <c r="H9" s="28">
        <f t="shared" si="6"/>
        <v>0</v>
      </c>
      <c r="I9" s="27">
        <v>408922.96</v>
      </c>
      <c r="J9" s="27">
        <v>34557.52</v>
      </c>
      <c r="K9" s="27">
        <v>883.27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34557.52</v>
      </c>
      <c r="U9" s="27">
        <v>883.27</v>
      </c>
      <c r="V9" s="27">
        <v>375248.71</v>
      </c>
      <c r="W9" s="27">
        <v>0</v>
      </c>
      <c r="X9" s="27">
        <v>0</v>
      </c>
      <c r="Y9" s="27">
        <v>0</v>
      </c>
      <c r="Z9" s="27">
        <v>0</v>
      </c>
      <c r="AA9" s="27">
        <v>375248.71</v>
      </c>
      <c r="AB9" s="28">
        <v>31290.68</v>
      </c>
      <c r="AC9" s="28">
        <f t="shared" si="2"/>
        <v>3.217395</v>
      </c>
      <c r="AD9" s="16">
        <v>3.217395</v>
      </c>
    </row>
    <row r="10" s="16" customFormat="1" spans="1:31">
      <c r="A10" s="25">
        <f>IF(([2]原始数据录入!$L$17-[2]租赁后续计量表!C10)&gt;=0,1,0)</f>
        <v>0</v>
      </c>
      <c r="B10" s="25">
        <f>IF(([2]原始数据录入!$L$18-[2]租赁后续计量表!C10)&gt;=0,2,0)</f>
        <v>0</v>
      </c>
      <c r="C10" s="26">
        <f>[2]租赁初始计量表!D47</f>
        <v>46446</v>
      </c>
      <c r="D10" s="28">
        <f t="shared" ref="D10:H10" si="7">ROUND(V9,2)</f>
        <v>375248.71</v>
      </c>
      <c r="E10" s="28">
        <f t="shared" si="7"/>
        <v>0</v>
      </c>
      <c r="F10" s="28">
        <f t="shared" si="7"/>
        <v>0</v>
      </c>
      <c r="G10" s="28">
        <f t="shared" si="7"/>
        <v>0</v>
      </c>
      <c r="H10" s="28">
        <f t="shared" si="7"/>
        <v>0</v>
      </c>
      <c r="I10" s="27">
        <v>375248.71</v>
      </c>
      <c r="J10" s="27">
        <v>34557.52</v>
      </c>
      <c r="K10" s="27">
        <v>810.54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34557.52</v>
      </c>
      <c r="U10" s="27">
        <v>810.54</v>
      </c>
      <c r="V10" s="27">
        <v>341501.73</v>
      </c>
      <c r="W10" s="27">
        <v>0</v>
      </c>
      <c r="X10" s="27">
        <v>0</v>
      </c>
      <c r="Y10" s="27">
        <v>0</v>
      </c>
      <c r="Z10" s="27">
        <v>0</v>
      </c>
      <c r="AA10" s="27">
        <v>341501.73</v>
      </c>
      <c r="AB10" s="28">
        <v>31290.68</v>
      </c>
      <c r="AC10" s="28">
        <f t="shared" si="2"/>
        <v>3.210122</v>
      </c>
      <c r="AD10" s="16">
        <v>3.210122</v>
      </c>
      <c r="AE10" s="23"/>
    </row>
    <row r="11" s="16" customFormat="1" spans="1:31">
      <c r="A11" s="25">
        <f>IF(([2]原始数据录入!$L$17-[2]租赁后续计量表!C11)&gt;=0,1,0)</f>
        <v>0</v>
      </c>
      <c r="B11" s="25">
        <f>IF(([2]原始数据录入!$L$18-[2]租赁后续计量表!C11)&gt;=0,2,0)</f>
        <v>0</v>
      </c>
      <c r="C11" s="26">
        <f>[2]租赁初始计量表!D48</f>
        <v>46477</v>
      </c>
      <c r="D11" s="28">
        <f t="shared" ref="D11:H11" si="8">ROUND(V10,2)</f>
        <v>341501.73</v>
      </c>
      <c r="E11" s="28">
        <f t="shared" si="8"/>
        <v>0</v>
      </c>
      <c r="F11" s="28">
        <f t="shared" si="8"/>
        <v>0</v>
      </c>
      <c r="G11" s="28">
        <f t="shared" si="8"/>
        <v>0</v>
      </c>
      <c r="H11" s="28">
        <f t="shared" si="8"/>
        <v>0</v>
      </c>
      <c r="I11" s="27">
        <v>341501.73</v>
      </c>
      <c r="J11" s="27">
        <v>34557.52</v>
      </c>
      <c r="K11" s="27">
        <v>737.64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34557.52</v>
      </c>
      <c r="U11" s="27">
        <v>737.64</v>
      </c>
      <c r="V11" s="27">
        <v>307681.85</v>
      </c>
      <c r="W11" s="27">
        <v>0</v>
      </c>
      <c r="X11" s="27">
        <v>0</v>
      </c>
      <c r="Y11" s="27">
        <v>0</v>
      </c>
      <c r="Z11" s="27">
        <v>0</v>
      </c>
      <c r="AA11" s="27">
        <v>307681.85</v>
      </c>
      <c r="AB11" s="28">
        <v>31290.68</v>
      </c>
      <c r="AC11" s="28">
        <f t="shared" si="2"/>
        <v>3.202832</v>
      </c>
      <c r="AD11" s="23">
        <v>3.202832</v>
      </c>
    </row>
    <row r="12" s="16" customFormat="1" spans="1:31">
      <c r="A12" s="25">
        <f>IF(([2]原始数据录入!$L$17-[2]租赁后续计量表!C12)&gt;=0,1,0)</f>
        <v>0</v>
      </c>
      <c r="B12" s="25">
        <f>IF(([2]原始数据录入!$L$18-[2]租赁后续计量表!C12)&gt;=0,2,0)</f>
        <v>0</v>
      </c>
      <c r="C12" s="26">
        <f>[2]租赁初始计量表!D49</f>
        <v>46507</v>
      </c>
      <c r="D12" s="28">
        <f t="shared" ref="D12:H12" si="9">ROUND(V11,2)</f>
        <v>307681.85</v>
      </c>
      <c r="E12" s="28">
        <f t="shared" si="9"/>
        <v>0</v>
      </c>
      <c r="F12" s="28">
        <f t="shared" si="9"/>
        <v>0</v>
      </c>
      <c r="G12" s="28">
        <f t="shared" si="9"/>
        <v>0</v>
      </c>
      <c r="H12" s="28">
        <f t="shared" si="9"/>
        <v>0</v>
      </c>
      <c r="I12" s="27">
        <v>307681.85</v>
      </c>
      <c r="J12" s="27">
        <v>34557.52</v>
      </c>
      <c r="K12" s="27">
        <v>664.59</v>
      </c>
      <c r="L12" s="27">
        <v>0</v>
      </c>
      <c r="M12" s="27">
        <v>0</v>
      </c>
      <c r="N12" s="27">
        <v>0</v>
      </c>
      <c r="O12" s="27">
        <v>0</v>
      </c>
      <c r="P12" s="27">
        <v>0</v>
      </c>
      <c r="Q12" s="27">
        <v>0</v>
      </c>
      <c r="R12" s="27">
        <v>0</v>
      </c>
      <c r="S12" s="27">
        <v>0</v>
      </c>
      <c r="T12" s="27">
        <v>34557.52</v>
      </c>
      <c r="U12" s="27">
        <v>664.59</v>
      </c>
      <c r="V12" s="27">
        <v>273788.92</v>
      </c>
      <c r="W12" s="27">
        <v>0</v>
      </c>
      <c r="X12" s="27">
        <v>0</v>
      </c>
      <c r="Y12" s="27">
        <v>0</v>
      </c>
      <c r="Z12" s="27">
        <v>0</v>
      </c>
      <c r="AA12" s="27">
        <v>273788.92</v>
      </c>
      <c r="AB12" s="28">
        <v>31290.68</v>
      </c>
      <c r="AC12" s="28">
        <f t="shared" si="2"/>
        <v>3.195527</v>
      </c>
      <c r="AD12" s="16">
        <v>3.195527</v>
      </c>
    </row>
    <row r="13" s="16" customFormat="1" spans="1:31">
      <c r="A13" s="25">
        <f>IF(([2]原始数据录入!$L$17-[2]租赁后续计量表!C13)&gt;=0,1,0)</f>
        <v>0</v>
      </c>
      <c r="B13" s="25">
        <f>IF(([2]原始数据录入!$L$18-[2]租赁后续计量表!C13)&gt;=0,2,0)</f>
        <v>0</v>
      </c>
      <c r="C13" s="26">
        <f>[2]租赁初始计量表!D50</f>
        <v>46538</v>
      </c>
      <c r="D13" s="28">
        <f t="shared" ref="D13:H13" si="10">ROUND(V12,2)</f>
        <v>273788.92</v>
      </c>
      <c r="E13" s="28">
        <f t="shared" si="10"/>
        <v>0</v>
      </c>
      <c r="F13" s="28">
        <f t="shared" si="10"/>
        <v>0</v>
      </c>
      <c r="G13" s="28">
        <f t="shared" si="10"/>
        <v>0</v>
      </c>
      <c r="H13" s="28">
        <f t="shared" si="10"/>
        <v>0</v>
      </c>
      <c r="I13" s="27">
        <v>273788.92</v>
      </c>
      <c r="J13" s="27">
        <v>34557.52</v>
      </c>
      <c r="K13" s="27">
        <v>591.38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34557.52</v>
      </c>
      <c r="U13" s="27">
        <v>591.38</v>
      </c>
      <c r="V13" s="27">
        <v>239822.78</v>
      </c>
      <c r="W13" s="27">
        <v>0</v>
      </c>
      <c r="X13" s="27">
        <v>0</v>
      </c>
      <c r="Y13" s="27">
        <v>0</v>
      </c>
      <c r="Z13" s="27">
        <v>0</v>
      </c>
      <c r="AA13" s="27">
        <v>239822.78</v>
      </c>
      <c r="AB13" s="28">
        <v>31290.68</v>
      </c>
      <c r="AC13" s="28">
        <f t="shared" si="2"/>
        <v>3.188206</v>
      </c>
      <c r="AD13" s="16">
        <v>3.188206</v>
      </c>
    </row>
    <row r="14" s="16" customFormat="1" spans="1:31">
      <c r="A14" s="25">
        <f>IF(([2]原始数据录入!$L$17-[2]租赁后续计量表!C14)&gt;=0,1,0)</f>
        <v>0</v>
      </c>
      <c r="B14" s="25">
        <f>IF(([2]原始数据录入!$L$18-[2]租赁后续计量表!C14)&gt;=0,2,0)</f>
        <v>0</v>
      </c>
      <c r="C14" s="26">
        <f>[2]租赁初始计量表!D51</f>
        <v>46568</v>
      </c>
      <c r="D14" s="28">
        <f t="shared" ref="D14:H14" si="11">ROUND(V13,2)</f>
        <v>239822.78</v>
      </c>
      <c r="E14" s="28">
        <f t="shared" si="11"/>
        <v>0</v>
      </c>
      <c r="F14" s="28">
        <f t="shared" si="11"/>
        <v>0</v>
      </c>
      <c r="G14" s="28">
        <f t="shared" si="11"/>
        <v>0</v>
      </c>
      <c r="H14" s="28">
        <f t="shared" si="11"/>
        <v>0</v>
      </c>
      <c r="I14" s="27">
        <v>239822.78</v>
      </c>
      <c r="J14" s="27">
        <v>34557.52</v>
      </c>
      <c r="K14" s="27">
        <v>518.02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34557.52</v>
      </c>
      <c r="U14" s="27">
        <v>518.02</v>
      </c>
      <c r="V14" s="27">
        <v>205783.28</v>
      </c>
      <c r="W14" s="27">
        <v>0</v>
      </c>
      <c r="X14" s="27">
        <v>0</v>
      </c>
      <c r="Y14" s="27">
        <v>0</v>
      </c>
      <c r="Z14" s="27">
        <v>0</v>
      </c>
      <c r="AA14" s="27">
        <v>205783.28</v>
      </c>
      <c r="AB14" s="28">
        <v>31290.68</v>
      </c>
      <c r="AC14" s="28">
        <f t="shared" si="2"/>
        <v>3.18087</v>
      </c>
      <c r="AD14" s="16">
        <v>3.18087</v>
      </c>
    </row>
    <row r="15" s="16" customFormat="1" spans="1:31">
      <c r="A15" s="25">
        <f>IF(([2]原始数据录入!$L$17-[2]租赁后续计量表!C15)&gt;=0,1,0)</f>
        <v>0</v>
      </c>
      <c r="B15" s="25">
        <f>IF(([2]原始数据录入!$L$18-[2]租赁后续计量表!C15)&gt;=0,2,0)</f>
        <v>0</v>
      </c>
      <c r="C15" s="26">
        <f>[2]租赁初始计量表!D52</f>
        <v>46599</v>
      </c>
      <c r="D15" s="28">
        <f t="shared" ref="D15:H15" si="12">ROUND(V14,2)</f>
        <v>205783.28</v>
      </c>
      <c r="E15" s="28">
        <f t="shared" si="12"/>
        <v>0</v>
      </c>
      <c r="F15" s="28">
        <f t="shared" si="12"/>
        <v>0</v>
      </c>
      <c r="G15" s="28">
        <f t="shared" si="12"/>
        <v>0</v>
      </c>
      <c r="H15" s="28">
        <f t="shared" si="12"/>
        <v>0</v>
      </c>
      <c r="I15" s="27">
        <v>205783.28</v>
      </c>
      <c r="J15" s="27">
        <v>34557.52</v>
      </c>
      <c r="K15" s="27">
        <v>444.49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34557.52</v>
      </c>
      <c r="U15" s="27">
        <v>444.49</v>
      </c>
      <c r="V15" s="27">
        <v>171670.25</v>
      </c>
      <c r="W15" s="27">
        <v>0</v>
      </c>
      <c r="X15" s="27">
        <v>0</v>
      </c>
      <c r="Y15" s="27">
        <v>0</v>
      </c>
      <c r="Z15" s="27">
        <v>0</v>
      </c>
      <c r="AA15" s="27">
        <v>171670.25</v>
      </c>
      <c r="AB15" s="28">
        <v>31290.68</v>
      </c>
      <c r="AC15" s="28">
        <f t="shared" si="2"/>
        <v>3.173517</v>
      </c>
      <c r="AD15" s="16">
        <v>3.173517</v>
      </c>
    </row>
    <row r="16" s="16" customFormat="1" spans="1:31">
      <c r="A16" s="25">
        <f>IF(([2]原始数据录入!$L$17-[2]租赁后续计量表!C16)&gt;=0,1,0)</f>
        <v>0</v>
      </c>
      <c r="B16" s="25">
        <f>IF(([2]原始数据录入!$L$18-[2]租赁后续计量表!C16)&gt;=0,2,0)</f>
        <v>0</v>
      </c>
      <c r="C16" s="26">
        <f>[2]租赁初始计量表!D53</f>
        <v>46630</v>
      </c>
      <c r="D16" s="28">
        <f t="shared" ref="D16:H16" si="13">ROUND(V15,2)</f>
        <v>171670.25</v>
      </c>
      <c r="E16" s="28">
        <f t="shared" si="13"/>
        <v>0</v>
      </c>
      <c r="F16" s="28">
        <f t="shared" si="13"/>
        <v>0</v>
      </c>
      <c r="G16" s="28">
        <f t="shared" si="13"/>
        <v>0</v>
      </c>
      <c r="H16" s="28">
        <f t="shared" si="13"/>
        <v>0</v>
      </c>
      <c r="I16" s="27">
        <v>171670.25</v>
      </c>
      <c r="J16" s="27">
        <v>34557.52</v>
      </c>
      <c r="K16" s="27">
        <v>370.81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34557.52</v>
      </c>
      <c r="U16" s="27">
        <v>370.81</v>
      </c>
      <c r="V16" s="27">
        <v>137483.54</v>
      </c>
      <c r="W16" s="27">
        <v>0</v>
      </c>
      <c r="X16" s="27">
        <v>0</v>
      </c>
      <c r="Y16" s="27">
        <v>0</v>
      </c>
      <c r="Z16" s="27">
        <v>0</v>
      </c>
      <c r="AA16" s="27">
        <v>137483.54</v>
      </c>
      <c r="AB16" s="28">
        <v>31290.68</v>
      </c>
      <c r="AC16" s="28">
        <f t="shared" si="2"/>
        <v>3.166149</v>
      </c>
      <c r="AD16" s="16">
        <v>3.166149</v>
      </c>
    </row>
    <row r="17" s="16" customFormat="1" spans="1:30">
      <c r="A17" s="25">
        <f>IF(([2]原始数据录入!$L$17-[2]租赁后续计量表!C17)&gt;=0,1,0)</f>
        <v>0</v>
      </c>
      <c r="B17" s="25">
        <f>IF(([2]原始数据录入!$L$18-[2]租赁后续计量表!C17)&gt;=0,2,0)</f>
        <v>0</v>
      </c>
      <c r="C17" s="26">
        <f>[2]租赁初始计量表!D54</f>
        <v>46660</v>
      </c>
      <c r="D17" s="28">
        <f t="shared" ref="D17:H17" si="14">ROUND(V16,2)</f>
        <v>137483.54</v>
      </c>
      <c r="E17" s="28">
        <f t="shared" si="14"/>
        <v>0</v>
      </c>
      <c r="F17" s="28">
        <f t="shared" si="14"/>
        <v>0</v>
      </c>
      <c r="G17" s="28">
        <f t="shared" si="14"/>
        <v>0</v>
      </c>
      <c r="H17" s="28">
        <f t="shared" si="14"/>
        <v>0</v>
      </c>
      <c r="I17" s="27">
        <v>137483.54</v>
      </c>
      <c r="J17" s="27">
        <v>34557.52</v>
      </c>
      <c r="K17" s="27">
        <v>296.96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34557.52</v>
      </c>
      <c r="U17" s="27">
        <v>296.96</v>
      </c>
      <c r="V17" s="27">
        <v>103222.98</v>
      </c>
      <c r="W17" s="27">
        <v>0</v>
      </c>
      <c r="X17" s="27">
        <v>0</v>
      </c>
      <c r="Y17" s="27">
        <v>0</v>
      </c>
      <c r="Z17" s="27">
        <v>0</v>
      </c>
      <c r="AA17" s="27">
        <v>103222.98</v>
      </c>
      <c r="AB17" s="28">
        <v>31290.68</v>
      </c>
      <c r="AC17" s="28">
        <f t="shared" si="2"/>
        <v>3.158764</v>
      </c>
      <c r="AD17" s="16">
        <v>3.158764</v>
      </c>
    </row>
    <row r="18" s="16" customFormat="1" spans="1:30">
      <c r="A18" s="25">
        <f>IF(([2]原始数据录入!$L$17-[2]租赁后续计量表!C18)&gt;=0,1,0)</f>
        <v>0</v>
      </c>
      <c r="B18" s="25">
        <f>IF(([2]原始数据录入!$L$18-[2]租赁后续计量表!C18)&gt;=0,2,0)</f>
        <v>0</v>
      </c>
      <c r="C18" s="26">
        <f>[2]租赁初始计量表!D55</f>
        <v>46691</v>
      </c>
      <c r="D18" s="28">
        <f t="shared" ref="D18:H18" si="15">ROUND(V17,2)</f>
        <v>103222.98</v>
      </c>
      <c r="E18" s="28">
        <f t="shared" si="15"/>
        <v>0</v>
      </c>
      <c r="F18" s="28">
        <f t="shared" si="15"/>
        <v>0</v>
      </c>
      <c r="G18" s="28">
        <f t="shared" si="15"/>
        <v>0</v>
      </c>
      <c r="H18" s="28">
        <f t="shared" si="15"/>
        <v>0</v>
      </c>
      <c r="I18" s="27">
        <v>103222.98</v>
      </c>
      <c r="J18" s="27">
        <v>34557.52</v>
      </c>
      <c r="K18" s="27">
        <v>222.96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34557.52</v>
      </c>
      <c r="U18" s="27">
        <v>222.96</v>
      </c>
      <c r="V18" s="27">
        <v>68888.42</v>
      </c>
      <c r="W18" s="27">
        <v>0</v>
      </c>
      <c r="X18" s="27">
        <v>0</v>
      </c>
      <c r="Y18" s="27">
        <v>0</v>
      </c>
      <c r="Z18" s="27">
        <v>0</v>
      </c>
      <c r="AA18" s="27">
        <v>68888.42</v>
      </c>
      <c r="AB18" s="28">
        <v>31290.68</v>
      </c>
      <c r="AC18" s="28">
        <f t="shared" si="2"/>
        <v>3.151364</v>
      </c>
      <c r="AD18" s="16">
        <v>3.151364</v>
      </c>
    </row>
    <row r="19" s="16" customFormat="1" spans="1:30">
      <c r="A19" s="25">
        <f>IF(([2]原始数据录入!$L$17-[2]租赁后续计量表!C19)&gt;=0,1,0)</f>
        <v>0</v>
      </c>
      <c r="B19" s="25">
        <f>IF(([2]原始数据录入!$L$18-[2]租赁后续计量表!C19)&gt;=0,2,0)</f>
        <v>0</v>
      </c>
      <c r="C19" s="26">
        <f>[2]租赁初始计量表!D56</f>
        <v>46721</v>
      </c>
      <c r="D19" s="28">
        <f t="shared" ref="D19:H19" si="16">ROUND(V18,2)</f>
        <v>68888.42</v>
      </c>
      <c r="E19" s="28">
        <f t="shared" si="16"/>
        <v>0</v>
      </c>
      <c r="F19" s="28">
        <f t="shared" si="16"/>
        <v>0</v>
      </c>
      <c r="G19" s="28">
        <f t="shared" si="16"/>
        <v>0</v>
      </c>
      <c r="H19" s="28">
        <f t="shared" si="16"/>
        <v>0</v>
      </c>
      <c r="I19" s="27">
        <v>68888.42</v>
      </c>
      <c r="J19" s="27">
        <v>34557.52</v>
      </c>
      <c r="K19" s="27">
        <v>148.8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34557.52</v>
      </c>
      <c r="U19" s="27">
        <v>148.8</v>
      </c>
      <c r="V19" s="27">
        <v>34479.7</v>
      </c>
      <c r="W19" s="27">
        <v>0</v>
      </c>
      <c r="X19" s="27">
        <v>0</v>
      </c>
      <c r="Y19" s="27">
        <v>0</v>
      </c>
      <c r="Z19" s="27">
        <v>0</v>
      </c>
      <c r="AA19" s="27">
        <v>34479.7</v>
      </c>
      <c r="AB19" s="28">
        <v>31290.68</v>
      </c>
      <c r="AC19" s="28">
        <f t="shared" si="2"/>
        <v>3.143948</v>
      </c>
      <c r="AD19" s="16">
        <v>3.143948</v>
      </c>
    </row>
    <row r="20" s="16" customFormat="1" spans="1:30">
      <c r="A20" s="25">
        <f>IF(([2]原始数据录入!$L$17-[2]租赁后续计量表!C20)&gt;=0,1,0)</f>
        <v>0</v>
      </c>
      <c r="B20" s="25">
        <f>IF(([2]原始数据录入!$L$18-[2]租赁后续计量表!C20)&gt;=0,2,0)</f>
        <v>0</v>
      </c>
      <c r="C20" s="26">
        <f>[2]租赁初始计量表!D57</f>
        <v>46752</v>
      </c>
      <c r="D20" s="28">
        <f t="shared" ref="D20:H20" si="17">ROUND(V19,2)</f>
        <v>34479.7</v>
      </c>
      <c r="E20" s="28">
        <f t="shared" si="17"/>
        <v>0</v>
      </c>
      <c r="F20" s="28">
        <f t="shared" si="17"/>
        <v>0</v>
      </c>
      <c r="G20" s="28">
        <f t="shared" si="17"/>
        <v>0</v>
      </c>
      <c r="H20" s="28">
        <f t="shared" si="17"/>
        <v>0</v>
      </c>
      <c r="I20" s="27">
        <v>34479.7</v>
      </c>
      <c r="J20" s="27">
        <v>34557.52</v>
      </c>
      <c r="K20" s="27">
        <v>74.48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34557.52</v>
      </c>
      <c r="U20" s="27">
        <f>74.48-3.34</f>
        <v>71.14</v>
      </c>
      <c r="V20" s="27">
        <v>-3.34</v>
      </c>
      <c r="W20" s="27">
        <v>0</v>
      </c>
      <c r="X20" s="27">
        <v>0</v>
      </c>
      <c r="Y20" s="27">
        <v>0</v>
      </c>
      <c r="Z20" s="27">
        <v>0</v>
      </c>
      <c r="AA20" s="27">
        <v>0</v>
      </c>
      <c r="AB20" s="28">
        <v>31290.68</v>
      </c>
      <c r="AC20" s="28">
        <f t="shared" si="2"/>
        <v>3.136182</v>
      </c>
      <c r="AD20" s="16">
        <v>3.136182</v>
      </c>
    </row>
    <row r="21" s="16" customFormat="1" spans="1:30">
      <c r="C21" s="30"/>
    </row>
    <row r="22" s="16" customFormat="1" spans="1:30">
      <c r="C22" s="30"/>
    </row>
    <row r="23" s="16" customFormat="1" spans="1:30">
      <c r="C23" s="31"/>
    </row>
  </sheetData>
  <mergeCells count="4">
    <mergeCell ref="D1:AA1"/>
    <mergeCell ref="C1:C2"/>
    <mergeCell ref="AB1:AB2"/>
    <mergeCell ref="AC1:AC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23"/>
  <sheetViews>
    <sheetView workbookViewId="0">
      <selection activeCell="C28" sqref="C28"/>
    </sheetView>
  </sheetViews>
  <sheetFormatPr defaultColWidth="9" defaultRowHeight="13.5" outlineLevelCol="5"/>
  <cols>
    <col min="1" max="1" width="5.55833333333333" style="1" customWidth="1"/>
    <col min="2" max="2" width="29.2166666666667" style="1" customWidth="1"/>
    <col min="3" max="3" width="71.6666666666667" style="1" customWidth="1"/>
    <col min="4" max="4" width="11.6666666666667" style="1" customWidth="1"/>
    <col min="5" max="6" width="16.8833333333333" style="1" customWidth="1"/>
    <col min="7" max="16384" width="9" style="1"/>
  </cols>
  <sheetData>
    <row r="1" s="1" customFormat="1" ht="20.25" spans="1:6">
      <c r="A1" s="2" t="s">
        <v>101</v>
      </c>
      <c r="B1" s="2"/>
      <c r="C1" s="2"/>
      <c r="D1" s="2"/>
      <c r="E1" s="2"/>
      <c r="F1" s="2"/>
    </row>
    <row r="2" s="1" customFormat="1" ht="27" spans="1:6">
      <c r="A2" s="3" t="s">
        <v>37</v>
      </c>
      <c r="B2" s="3" t="s">
        <v>102</v>
      </c>
      <c r="C2" s="3" t="s">
        <v>103</v>
      </c>
      <c r="D2" s="4" t="s">
        <v>104</v>
      </c>
      <c r="E2" s="4" t="s">
        <v>105</v>
      </c>
      <c r="F2" s="4" t="s">
        <v>106</v>
      </c>
    </row>
    <row r="3" s="1" customFormat="1" spans="1:6">
      <c r="A3" s="5" t="s">
        <v>107</v>
      </c>
      <c r="B3" s="3" t="s">
        <v>108</v>
      </c>
      <c r="C3" s="3"/>
      <c r="D3" s="3"/>
      <c r="E3" s="3"/>
      <c r="F3" s="3"/>
    </row>
    <row r="4" s="1" customFormat="1" spans="1:6">
      <c r="A4" s="6">
        <v>1</v>
      </c>
      <c r="B4" s="7" t="s">
        <v>109</v>
      </c>
      <c r="C4" s="7" t="s">
        <v>110</v>
      </c>
      <c r="D4" s="7">
        <v>20</v>
      </c>
      <c r="E4" s="7">
        <v>1.98</v>
      </c>
      <c r="F4" s="7">
        <f t="shared" ref="F4:F10" si="0">D4*E4</f>
        <v>39.6</v>
      </c>
    </row>
    <row r="5" s="1" customFormat="1" ht="27" spans="1:6">
      <c r="A5" s="6">
        <v>2</v>
      </c>
      <c r="B5" s="7" t="s">
        <v>111</v>
      </c>
      <c r="C5" s="8" t="s">
        <v>112</v>
      </c>
      <c r="D5" s="7">
        <v>3</v>
      </c>
      <c r="E5" s="7">
        <v>1.008</v>
      </c>
      <c r="F5" s="7">
        <f t="shared" si="0"/>
        <v>3.024</v>
      </c>
    </row>
    <row r="6" s="1" customFormat="1" spans="1:6">
      <c r="A6" s="6">
        <v>3</v>
      </c>
      <c r="B6" s="7" t="s">
        <v>113</v>
      </c>
      <c r="C6" s="7" t="s">
        <v>114</v>
      </c>
      <c r="D6" s="7">
        <v>2</v>
      </c>
      <c r="E6" s="7">
        <v>0.18</v>
      </c>
      <c r="F6" s="7">
        <f t="shared" si="0"/>
        <v>0.36</v>
      </c>
    </row>
    <row r="7" s="1" customFormat="1" spans="1:6">
      <c r="A7" s="6">
        <v>4</v>
      </c>
      <c r="B7" s="7" t="s">
        <v>115</v>
      </c>
      <c r="C7" s="7" t="s">
        <v>116</v>
      </c>
      <c r="D7" s="7">
        <v>2</v>
      </c>
      <c r="E7" s="7">
        <v>0.126</v>
      </c>
      <c r="F7" s="7">
        <f t="shared" si="0"/>
        <v>0.252</v>
      </c>
    </row>
    <row r="8" s="1" customFormat="1" ht="27" spans="1:6">
      <c r="A8" s="6">
        <v>5</v>
      </c>
      <c r="B8" s="7" t="s">
        <v>117</v>
      </c>
      <c r="C8" s="8" t="s">
        <v>118</v>
      </c>
      <c r="D8" s="7">
        <v>2</v>
      </c>
      <c r="E8" s="7">
        <v>0.18</v>
      </c>
      <c r="F8" s="7">
        <f t="shared" si="0"/>
        <v>0.36</v>
      </c>
    </row>
    <row r="9" s="1" customFormat="1" spans="1:6">
      <c r="A9" s="6">
        <v>6</v>
      </c>
      <c r="B9" s="7" t="s">
        <v>119</v>
      </c>
      <c r="C9" s="7" t="s">
        <v>120</v>
      </c>
      <c r="D9" s="7">
        <v>2</v>
      </c>
      <c r="E9" s="7">
        <v>0.6</v>
      </c>
      <c r="F9" s="7">
        <f t="shared" si="0"/>
        <v>1.2</v>
      </c>
    </row>
    <row r="10" s="1" customFormat="1" spans="1:6">
      <c r="A10" s="6">
        <v>7</v>
      </c>
      <c r="B10" s="7" t="s">
        <v>121</v>
      </c>
      <c r="C10" s="7" t="s">
        <v>122</v>
      </c>
      <c r="D10" s="7">
        <v>60</v>
      </c>
      <c r="E10" s="7">
        <v>0.0144</v>
      </c>
      <c r="F10" s="7">
        <f t="shared" si="0"/>
        <v>0.864</v>
      </c>
    </row>
    <row r="11" s="1" customFormat="1" spans="1:6">
      <c r="A11" s="5" t="s">
        <v>123</v>
      </c>
      <c r="B11" s="3" t="s">
        <v>124</v>
      </c>
      <c r="C11" s="3"/>
      <c r="D11" s="3"/>
      <c r="E11" s="3"/>
      <c r="F11" s="3"/>
    </row>
    <row r="12" s="1" customFormat="1" spans="1:6">
      <c r="A12" s="6">
        <v>1</v>
      </c>
      <c r="B12" s="7" t="s">
        <v>125</v>
      </c>
      <c r="C12" s="7" t="s">
        <v>126</v>
      </c>
      <c r="D12" s="7">
        <v>1</v>
      </c>
      <c r="E12" s="7">
        <v>1.2</v>
      </c>
      <c r="F12" s="7">
        <f t="shared" ref="F12:F17" si="1">D12*E12</f>
        <v>1.2</v>
      </c>
    </row>
    <row r="13" s="1" customFormat="1" ht="27" spans="1:6">
      <c r="A13" s="5" t="s">
        <v>127</v>
      </c>
      <c r="B13" s="3" t="s">
        <v>128</v>
      </c>
      <c r="C13" s="3" t="s">
        <v>103</v>
      </c>
      <c r="D13" s="3" t="s">
        <v>129</v>
      </c>
      <c r="E13" s="4" t="s">
        <v>130</v>
      </c>
      <c r="F13" s="4" t="s">
        <v>131</v>
      </c>
    </row>
    <row r="14" s="1" customFormat="1" spans="1:6">
      <c r="A14" s="6">
        <v>1</v>
      </c>
      <c r="B14" s="7" t="s">
        <v>132</v>
      </c>
      <c r="C14" s="7" t="s">
        <v>133</v>
      </c>
      <c r="D14" s="7">
        <v>4</v>
      </c>
      <c r="E14" s="7">
        <v>6</v>
      </c>
      <c r="F14" s="7">
        <f t="shared" si="1"/>
        <v>24</v>
      </c>
    </row>
    <row r="15" s="1" customFormat="1" ht="40.5" spans="1:6">
      <c r="A15" s="5" t="s">
        <v>134</v>
      </c>
      <c r="B15" s="3" t="s">
        <v>135</v>
      </c>
      <c r="C15" s="3" t="s">
        <v>103</v>
      </c>
      <c r="D15" s="3" t="s">
        <v>129</v>
      </c>
      <c r="E15" s="4" t="s">
        <v>136</v>
      </c>
      <c r="F15" s="4" t="s">
        <v>137</v>
      </c>
    </row>
    <row r="16" s="1" customFormat="1" spans="1:6">
      <c r="A16" s="6">
        <v>1</v>
      </c>
      <c r="B16" s="7" t="s">
        <v>138</v>
      </c>
      <c r="C16" s="7" t="s">
        <v>139</v>
      </c>
      <c r="D16" s="7">
        <v>0</v>
      </c>
      <c r="E16" s="7">
        <v>0</v>
      </c>
      <c r="F16" s="7">
        <v>0</v>
      </c>
    </row>
    <row r="17" s="1" customFormat="1" spans="1:6">
      <c r="A17" s="6">
        <v>2</v>
      </c>
      <c r="B17" s="7" t="s">
        <v>140</v>
      </c>
      <c r="C17" s="7" t="s">
        <v>141</v>
      </c>
      <c r="D17" s="7">
        <v>1</v>
      </c>
      <c r="E17" s="7">
        <v>3.6</v>
      </c>
      <c r="F17" s="7">
        <f t="shared" si="1"/>
        <v>3.6</v>
      </c>
    </row>
    <row r="18" s="1" customFormat="1" spans="1:6">
      <c r="A18" s="5" t="s">
        <v>142</v>
      </c>
      <c r="B18" s="3" t="s">
        <v>143</v>
      </c>
      <c r="C18" s="3"/>
      <c r="D18" s="3" t="s">
        <v>144</v>
      </c>
      <c r="E18" s="3" t="s">
        <v>145</v>
      </c>
      <c r="F18" s="3" t="s">
        <v>146</v>
      </c>
    </row>
    <row r="19" s="1" customFormat="1" spans="1:6">
      <c r="A19" s="6">
        <v>1</v>
      </c>
      <c r="B19" s="7" t="s">
        <v>147</v>
      </c>
      <c r="C19" s="7" t="s">
        <v>148</v>
      </c>
      <c r="D19" s="7">
        <v>60</v>
      </c>
      <c r="E19" s="7">
        <v>0.06</v>
      </c>
      <c r="F19" s="7">
        <f>D19*E19</f>
        <v>3.6</v>
      </c>
    </row>
    <row r="20" s="1" customFormat="1" spans="1:6">
      <c r="A20" s="5" t="s">
        <v>149</v>
      </c>
      <c r="B20" s="3" t="s">
        <v>150</v>
      </c>
      <c r="C20" s="3"/>
      <c r="D20" s="3" t="s">
        <v>144</v>
      </c>
      <c r="E20" s="3" t="s">
        <v>145</v>
      </c>
      <c r="F20" s="3" t="s">
        <v>146</v>
      </c>
    </row>
    <row r="21" s="1" customFormat="1" spans="1:6">
      <c r="A21" s="6">
        <v>1</v>
      </c>
      <c r="B21" s="7" t="s">
        <v>151</v>
      </c>
      <c r="C21" s="7" t="s">
        <v>152</v>
      </c>
      <c r="D21" s="7">
        <v>60</v>
      </c>
      <c r="E21" s="7">
        <v>0.06</v>
      </c>
      <c r="F21" s="7">
        <f>D21*E21</f>
        <v>3.6</v>
      </c>
    </row>
    <row r="22" s="1" customFormat="1" spans="1:6">
      <c r="A22" s="9"/>
      <c r="B22" s="10"/>
      <c r="C22" s="11"/>
      <c r="D22" s="11"/>
      <c r="E22" s="12"/>
      <c r="F22" s="13"/>
    </row>
    <row r="23" s="1" customFormat="1" spans="1:6">
      <c r="A23" s="7"/>
      <c r="B23" s="14" t="s">
        <v>8</v>
      </c>
      <c r="C23" s="7"/>
      <c r="D23" s="7"/>
      <c r="E23" s="7"/>
      <c r="F23" s="15">
        <f>SUM(F4:F21)</f>
        <v>81.66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23"/>
  <sheetViews>
    <sheetView workbookViewId="0">
      <selection activeCell="A1" sqref="$A1:$XFD1048576"/>
    </sheetView>
  </sheetViews>
  <sheetFormatPr defaultColWidth="9" defaultRowHeight="13.5" outlineLevelCol="5"/>
  <cols>
    <col min="1" max="1" width="5.55833333333333" style="1" customWidth="1"/>
    <col min="2" max="2" width="29.2166666666667" style="1" customWidth="1"/>
    <col min="3" max="3" width="71.6666666666667" style="1" customWidth="1"/>
    <col min="4" max="4" width="11.6666666666667" style="1" customWidth="1"/>
    <col min="5" max="6" width="16.8833333333333" style="1" customWidth="1"/>
    <col min="7" max="16384" width="9" style="1"/>
  </cols>
  <sheetData>
    <row r="1" s="1" customFormat="1" ht="20.25" spans="1:6">
      <c r="A1" s="2" t="s">
        <v>153</v>
      </c>
      <c r="B1" s="2"/>
      <c r="C1" s="2"/>
      <c r="D1" s="2"/>
      <c r="E1" s="2"/>
      <c r="F1" s="2"/>
    </row>
    <row r="2" s="1" customFormat="1" ht="27" spans="1:6">
      <c r="A2" s="3" t="s">
        <v>37</v>
      </c>
      <c r="B2" s="3" t="s">
        <v>102</v>
      </c>
      <c r="C2" s="3" t="s">
        <v>103</v>
      </c>
      <c r="D2" s="4" t="s">
        <v>104</v>
      </c>
      <c r="E2" s="4" t="s">
        <v>154</v>
      </c>
      <c r="F2" s="4" t="s">
        <v>155</v>
      </c>
    </row>
    <row r="3" s="1" customFormat="1" spans="1:6">
      <c r="A3" s="5" t="s">
        <v>107</v>
      </c>
      <c r="B3" s="3" t="s">
        <v>108</v>
      </c>
      <c r="C3" s="3"/>
      <c r="D3" s="3"/>
      <c r="E3" s="3"/>
      <c r="F3" s="3"/>
    </row>
    <row r="4" s="1" customFormat="1" spans="1:6">
      <c r="A4" s="6">
        <v>1</v>
      </c>
      <c r="B4" s="7" t="s">
        <v>109</v>
      </c>
      <c r="C4" s="7" t="s">
        <v>110</v>
      </c>
      <c r="D4" s="7">
        <v>20</v>
      </c>
      <c r="E4" s="7">
        <v>5.873868</v>
      </c>
      <c r="F4" s="7">
        <f t="shared" ref="F4:F10" si="0">D4*E4</f>
        <v>117.47736</v>
      </c>
    </row>
    <row r="5" s="1" customFormat="1" ht="27" spans="1:6">
      <c r="A5" s="6">
        <v>2</v>
      </c>
      <c r="B5" s="7" t="s">
        <v>111</v>
      </c>
      <c r="C5" s="8" t="s">
        <v>112</v>
      </c>
      <c r="D5" s="7">
        <v>3</v>
      </c>
      <c r="E5" s="7">
        <v>5.04</v>
      </c>
      <c r="F5" s="7">
        <f t="shared" si="0"/>
        <v>15.12</v>
      </c>
    </row>
    <row r="6" s="1" customFormat="1" spans="1:6">
      <c r="A6" s="6">
        <v>3</v>
      </c>
      <c r="B6" s="7" t="s">
        <v>113</v>
      </c>
      <c r="C6" s="7" t="s">
        <v>114</v>
      </c>
      <c r="D6" s="7">
        <v>2</v>
      </c>
      <c r="E6" s="7">
        <v>1.6</v>
      </c>
      <c r="F6" s="7">
        <f t="shared" si="0"/>
        <v>3.2</v>
      </c>
    </row>
    <row r="7" s="1" customFormat="1" spans="1:6">
      <c r="A7" s="6">
        <v>4</v>
      </c>
      <c r="B7" s="7" t="s">
        <v>115</v>
      </c>
      <c r="C7" s="7" t="s">
        <v>116</v>
      </c>
      <c r="D7" s="7">
        <v>2</v>
      </c>
      <c r="E7" s="7">
        <v>1.2</v>
      </c>
      <c r="F7" s="7">
        <f t="shared" si="0"/>
        <v>2.4</v>
      </c>
    </row>
    <row r="8" s="1" customFormat="1" ht="27" spans="1:6">
      <c r="A8" s="6">
        <v>5</v>
      </c>
      <c r="B8" s="7" t="s">
        <v>117</v>
      </c>
      <c r="C8" s="8" t="s">
        <v>118</v>
      </c>
      <c r="D8" s="7">
        <v>2</v>
      </c>
      <c r="E8" s="7">
        <v>3.25</v>
      </c>
      <c r="F8" s="7">
        <f t="shared" si="0"/>
        <v>6.5</v>
      </c>
    </row>
    <row r="9" s="1" customFormat="1" spans="1:6">
      <c r="A9" s="6">
        <v>6</v>
      </c>
      <c r="B9" s="7" t="s">
        <v>119</v>
      </c>
      <c r="C9" s="7" t="s">
        <v>120</v>
      </c>
      <c r="D9" s="7">
        <v>2</v>
      </c>
      <c r="E9" s="7">
        <v>5</v>
      </c>
      <c r="F9" s="7">
        <f t="shared" si="0"/>
        <v>10</v>
      </c>
    </row>
    <row r="10" s="1" customFormat="1" spans="1:6">
      <c r="A10" s="6">
        <v>7</v>
      </c>
      <c r="B10" s="7" t="s">
        <v>121</v>
      </c>
      <c r="C10" s="7" t="s">
        <v>122</v>
      </c>
      <c r="D10" s="7">
        <v>60</v>
      </c>
      <c r="E10" s="7">
        <v>0.036</v>
      </c>
      <c r="F10" s="7">
        <f t="shared" si="0"/>
        <v>2.16</v>
      </c>
    </row>
    <row r="11" s="1" customFormat="1" spans="1:6">
      <c r="A11" s="5" t="s">
        <v>123</v>
      </c>
      <c r="B11" s="3" t="s">
        <v>124</v>
      </c>
      <c r="C11" s="3"/>
      <c r="D11" s="3"/>
      <c r="E11" s="3"/>
      <c r="F11" s="3"/>
    </row>
    <row r="12" s="1" customFormat="1" spans="1:6">
      <c r="A12" s="6">
        <v>1</v>
      </c>
      <c r="B12" s="7" t="s">
        <v>125</v>
      </c>
      <c r="C12" s="7" t="s">
        <v>126</v>
      </c>
      <c r="D12" s="7">
        <v>1</v>
      </c>
      <c r="E12" s="7">
        <v>1.2</v>
      </c>
      <c r="F12" s="7">
        <f t="shared" ref="F12:F17" si="1">D12*E12</f>
        <v>1.2</v>
      </c>
    </row>
    <row r="13" s="1" customFormat="1" ht="27" spans="1:6">
      <c r="A13" s="5" t="s">
        <v>127</v>
      </c>
      <c r="B13" s="3" t="s">
        <v>128</v>
      </c>
      <c r="C13" s="3" t="s">
        <v>103</v>
      </c>
      <c r="D13" s="3" t="s">
        <v>129</v>
      </c>
      <c r="E13" s="4" t="s">
        <v>156</v>
      </c>
      <c r="F13" s="4" t="s">
        <v>131</v>
      </c>
    </row>
    <row r="14" s="1" customFormat="1" spans="1:6">
      <c r="A14" s="6">
        <v>1</v>
      </c>
      <c r="B14" s="7" t="s">
        <v>132</v>
      </c>
      <c r="C14" s="7" t="s">
        <v>133</v>
      </c>
      <c r="D14" s="7">
        <v>4</v>
      </c>
      <c r="E14" s="7">
        <v>6</v>
      </c>
      <c r="F14" s="7">
        <f t="shared" si="1"/>
        <v>24</v>
      </c>
    </row>
    <row r="15" s="1" customFormat="1" ht="40.5" spans="1:6">
      <c r="A15" s="5" t="s">
        <v>134</v>
      </c>
      <c r="B15" s="3" t="s">
        <v>135</v>
      </c>
      <c r="C15" s="3" t="s">
        <v>103</v>
      </c>
      <c r="D15" s="3" t="s">
        <v>129</v>
      </c>
      <c r="E15" s="4" t="s">
        <v>136</v>
      </c>
      <c r="F15" s="4" t="s">
        <v>157</v>
      </c>
    </row>
    <row r="16" s="1" customFormat="1" spans="1:6">
      <c r="A16" s="6">
        <v>1</v>
      </c>
      <c r="B16" s="7" t="s">
        <v>138</v>
      </c>
      <c r="C16" s="7" t="s">
        <v>139</v>
      </c>
      <c r="D16" s="7">
        <v>0</v>
      </c>
      <c r="E16" s="7">
        <v>0</v>
      </c>
      <c r="F16" s="7">
        <v>0</v>
      </c>
    </row>
    <row r="17" s="1" customFormat="1" spans="1:6">
      <c r="A17" s="6">
        <v>2</v>
      </c>
      <c r="B17" s="7" t="s">
        <v>140</v>
      </c>
      <c r="C17" s="7" t="s">
        <v>158</v>
      </c>
      <c r="D17" s="7">
        <v>1</v>
      </c>
      <c r="E17" s="7">
        <v>3.6</v>
      </c>
      <c r="F17" s="7">
        <f t="shared" si="1"/>
        <v>3.6</v>
      </c>
    </row>
    <row r="18" s="1" customFormat="1" spans="1:6">
      <c r="A18" s="5" t="s">
        <v>142</v>
      </c>
      <c r="B18" s="3" t="s">
        <v>143</v>
      </c>
      <c r="C18" s="3"/>
      <c r="D18" s="3" t="s">
        <v>144</v>
      </c>
      <c r="E18" s="3" t="s">
        <v>145</v>
      </c>
      <c r="F18" s="3" t="s">
        <v>146</v>
      </c>
    </row>
    <row r="19" s="1" customFormat="1" spans="1:6">
      <c r="A19" s="6">
        <v>1</v>
      </c>
      <c r="B19" s="7" t="s">
        <v>147</v>
      </c>
      <c r="C19" s="7" t="s">
        <v>148</v>
      </c>
      <c r="D19" s="7">
        <v>60</v>
      </c>
      <c r="E19" s="7">
        <v>0.06</v>
      </c>
      <c r="F19" s="7">
        <f>D19*E19</f>
        <v>3.6</v>
      </c>
    </row>
    <row r="20" s="1" customFormat="1" spans="1:6">
      <c r="A20" s="5" t="s">
        <v>149</v>
      </c>
      <c r="B20" s="3" t="s">
        <v>150</v>
      </c>
      <c r="C20" s="3"/>
      <c r="D20" s="3" t="s">
        <v>144</v>
      </c>
      <c r="E20" s="3" t="s">
        <v>145</v>
      </c>
      <c r="F20" s="3" t="s">
        <v>146</v>
      </c>
    </row>
    <row r="21" s="1" customFormat="1" spans="1:6">
      <c r="A21" s="6">
        <v>1</v>
      </c>
      <c r="B21" s="7" t="s">
        <v>151</v>
      </c>
      <c r="C21" s="7" t="s">
        <v>152</v>
      </c>
      <c r="D21" s="7">
        <v>60</v>
      </c>
      <c r="E21" s="7">
        <v>0.06</v>
      </c>
      <c r="F21" s="7">
        <f>D21*E21</f>
        <v>3.6</v>
      </c>
    </row>
    <row r="22" s="1" customFormat="1" spans="1:6">
      <c r="A22" s="9"/>
      <c r="B22" s="10"/>
      <c r="C22" s="11"/>
      <c r="D22" s="11"/>
      <c r="E22" s="12"/>
      <c r="F22" s="13"/>
    </row>
    <row r="23" s="1" customFormat="1" spans="1:6">
      <c r="A23" s="7"/>
      <c r="B23" s="14" t="s">
        <v>8</v>
      </c>
      <c r="C23" s="7"/>
      <c r="D23" s="7"/>
      <c r="E23" s="7"/>
      <c r="F23" s="15">
        <f>SUM(F4:F21)</f>
        <v>192.85736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总表</vt:lpstr>
      <vt:lpstr>云游戏分月测算明细</vt:lpstr>
      <vt:lpstr>云游戏CP分成明细</vt:lpstr>
      <vt:lpstr>使用权资产（服务器）</vt:lpstr>
      <vt:lpstr>租赁成本</vt:lpstr>
      <vt:lpstr>采购成本（参考）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cui.yafang</dc:creator>
  <cp:lastModifiedBy>崔亚芳</cp:lastModifiedBy>
  <dcterms:created xsi:type="dcterms:W3CDTF">2026-04-10T06:42:00Z</dcterms:created>
  <dcterms:modified xsi:type="dcterms:W3CDTF">2026-07-07T08:49:25Z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DF4B62716B9D443DAF9B10DC72342612_11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