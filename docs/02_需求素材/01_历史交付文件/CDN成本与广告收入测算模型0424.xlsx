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2"/>
  </bookViews>
  <sheets>
    <sheet name="单用户成本与收益" sheetId="3" r:id="rId1"/>
    <sheet name="收视用户分布模型" sheetId="4" r:id="rId2"/>
    <sheet name="概要" sheetId="10" r:id="rId3"/>
    <sheet name="2.3码率" sheetId="9" r:id="rId4"/>
    <sheet name="4码率" sheetId="7" r:id="rId5"/>
    <sheet name="行业情况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<sst xmlns="http://schemas.openxmlformats.org/spreadsheetml/2006/main" count="822" uniqueCount="192">
  <si>
    <t>用户数</t>
  </si>
  <si>
    <t>CDN单价</t>
  </si>
  <si>
    <t>码率</t>
  </si>
  <si>
    <t>收看分钟数</t>
  </si>
  <si>
    <t>单用户CDN成本</t>
  </si>
  <si>
    <t>月成本（30*分钟数）</t>
  </si>
  <si>
    <t>cpm价格（元）</t>
  </si>
  <si>
    <t>广告次数（开机1次，后续15分钟一次）</t>
  </si>
  <si>
    <t>单用户广告收入</t>
  </si>
  <si>
    <t>利润</t>
  </si>
  <si>
    <t>利润率</t>
  </si>
  <si>
    <t>盈亏平衡点</t>
  </si>
  <si>
    <t>月成本</t>
  </si>
  <si>
    <t>月收入</t>
  </si>
  <si>
    <t>提升收益办法：降低CDN单价、提高CPM价格、动态调整广告次数</t>
  </si>
  <si>
    <t>收视分钟数</t>
  </si>
  <si>
    <t>用户分布占比</t>
  </si>
  <si>
    <t>码率（M）</t>
  </si>
  <si>
    <t>CDN单价（元）</t>
  </si>
  <si>
    <t>成本(元/天)</t>
  </si>
  <si>
    <t>广告次数</t>
  </si>
  <si>
    <t>CPM价格（元）</t>
  </si>
  <si>
    <t>广告收入（元）</t>
  </si>
  <si>
    <t>盈亏平衡点CPM</t>
  </si>
  <si>
    <t>长虹合计</t>
  </si>
  <si>
    <t>天津合计</t>
  </si>
  <si>
    <t>湖北合计</t>
  </si>
  <si>
    <t>平均占比</t>
  </si>
  <si>
    <t>长虹</t>
  </si>
  <si>
    <t>天津</t>
  </si>
  <si>
    <t>湖北</t>
  </si>
  <si>
    <t xml:space="preserve">根据业务及技术提供的测算假设如下：
1、收视分钟数假定为1min、5min、10min、15min、20min、25min、30min、60min8种情况，广告播放次数：开机1次，30分钟内每15分钟一次，超出30分钟为每10分钟一次；
2、成本假设：码率设为2.3Mb/s或4/Mb/s，CDN单价为0.04元/Gb，按1Gb=1000Mb换算；
3、用户分布假设：假定日用户规模为10万，分3种模式进行测算，模式一按现有用户分布情况测算（1min占比最大），模式二取根据现有用户分布头尾两端（1min取最低，60min取最高）峰值测算，模式三按业务成熟期60min占比最大、1min占比最小测算；
4、CPM单价假设：假设单价为10或5，结合2种不同权重进行测算；另外假设单价为4测算；
5、渠道分成假设：按三七分、五五分进行测算。
</t>
  </si>
  <si>
    <t>测算主要数据如下：</t>
  </si>
  <si>
    <t>盈亏平衡点CPM底价</t>
  </si>
  <si>
    <t>10万日活用户CDN成本（万元/年）</t>
  </si>
  <si>
    <t>10万日活用户毛利（万元/年）</t>
  </si>
  <si>
    <t>模式一</t>
  </si>
  <si>
    <t>模式二</t>
  </si>
  <si>
    <t>模式三</t>
  </si>
  <si>
    <t>50%广告CPM单价为10,50%为5</t>
  </si>
  <si>
    <t>30%广告CPM单价为10,70%为5</t>
  </si>
  <si>
    <t>100%广告CPM定价为4</t>
  </si>
  <si>
    <t>2.3M</t>
  </si>
  <si>
    <t>4M</t>
  </si>
  <si>
    <t>参考电淘，首季度13.2万日活用户，后续33.2万日活用户测算</t>
  </si>
  <si>
    <t>33万日活用户CDN成本（万元/年）</t>
  </si>
  <si>
    <t>33万日活用户毛利（万元/年）</t>
  </si>
  <si>
    <t xml:space="preserve">主要结论：
项目盈亏的关键在用户收视时长分布以及码率
1、模式一情形下CPM 4.95/8.61元时达到盈亏平衡点，模式二下CPM 5.58/9.7元时达到盈亏平衡点，模式三下CPM 6.79/11.81元时达到盈亏平衡点；
2、随着收视时长增加，利润率逐步降低，盈亏平衡点CPM上涨，需提高收视20分钟以上区间的利润率（提示用户做调查问卷或休息一下）；
3、目前长虹业务码率是4M/s，后续码率最低2.3M/s起，需考虑码率设置为最低的可行性；
4、模式一情形下，年收入200万需要日活用户达到35万户/40万户/66万户；模式二情形下，年收入200万需要日活用户达到30万户/34万户/56万户；模式三情形下，年收入200万需要日活用户达到17万户/20万户/32万户；
5、10万日活用户，按现状模式一测算：不考虑广告收入，年投入成本在38-65万；按电淘目前CPM平均为4测算，年亏损在7-35万；
极限情况模式三下：不考虑广告收入，年投入成本在106-185万；按电淘目前CPM平均为4测算，年亏损在44-122万；
6、通过敏感性分析，后期可通过降低CDN成本、提高客户粘性使CPM增加来提高利润率，业务需考虑几种方式的可行性。
</t>
  </si>
  <si>
    <t xml:space="preserve">根据业务及技术提供的测算假设如下：
1、收视分钟数假定为1min、5min、10min、15min、20min、25min、30min、60min8种情况，广告播放次数：开机1次，30分钟内每15分钟一次，超出30分钟为每10分钟一次；
2、成本假设：码率设为最低2.3Mb/s，CDN单价为0.04元/Gb，按1Gb=1000Mb换算；
3、用户分布假设：假定日活用户规模为10万，分3种模式进行测算，模式一按现有用户分布情况测算（1min占比最大），模式二取根据现有用户分布头尾两端（1min取最低，60min取最高）峰值测算，模式三按业务成熟期60min占比最大、1min占比最小测算；
4、CPM单价假设：假设单价为10或5，结合2种不同权重进行测算；另外假设单价为4测算；
5、渠道分成假设：按三七分、五五分进行测算。
</t>
  </si>
  <si>
    <t xml:space="preserve">主要结论：
项目盈亏的关键在用户收视时长分布以及码率
1、模式一情形下CPM 4.95元时达到盈亏平衡点，模式二下CPM 5.58元时达到盈亏平衡点，模式三下CPM 6.79元时达到盈亏平衡点；
2、随着收视时长增加，利润率逐步降低，盈亏平衡点CPM上涨，需提高收视20分钟以上区间的利润率（提示用户做调查问卷或休息一下）；
3、目前业务码率是4M/s，后续码率最低2.3M/s起，需考虑码率设置为最低的可行性；
4、模式一情形下，年收入200万需要日活用户达到35万户/40万户/66万户；不考虑广告收入，纯成本投入每月3.1万，年投入37.2万；
5、通过敏感性分析，后期可通过降低CDN成本、提高客户粘性使CPM增加来提高利润率，业务需考虑几种方式的可行性。
</t>
  </si>
  <si>
    <t>截止2026年3月31日现状：</t>
  </si>
  <si>
    <t>明细</t>
  </si>
  <si>
    <t>合计</t>
  </si>
  <si>
    <t>B端</t>
  </si>
  <si>
    <t>C端</t>
  </si>
  <si>
    <t>备注</t>
  </si>
  <si>
    <t>未来电视</t>
  </si>
  <si>
    <t>凌顶</t>
  </si>
  <si>
    <t>目前行业毛利率在哪个区间，头部平台和中小平台</t>
  </si>
  <si>
    <t>合作期间</t>
  </si>
  <si>
    <t>2025/7/1-2026/3/31</t>
  </si>
  <si>
    <t>2025/9/1-2026/3/31</t>
  </si>
  <si>
    <t>2026/2/6-2026/3/31</t>
  </si>
  <si>
    <t>总收入（元）</t>
  </si>
  <si>
    <t>总成本（元）</t>
  </si>
  <si>
    <t>CDN成本能否按渠道拆分</t>
  </si>
  <si>
    <t>总利润（元）</t>
  </si>
  <si>
    <t>毛利率</t>
  </si>
  <si>
    <t>码率（M/s）</t>
  </si>
  <si>
    <t>广告次数（CPM）</t>
  </si>
  <si>
    <t>广告位</t>
  </si>
  <si>
    <t>图片、前插广告</t>
  </si>
  <si>
    <t>图片、前插视频</t>
  </si>
  <si>
    <t>启动视频、图片</t>
  </si>
  <si>
    <t>图片广告不需要cdn</t>
  </si>
  <si>
    <t>累计用户数</t>
  </si>
  <si>
    <t>激活用户数</t>
  </si>
  <si>
    <t>激活的概念：进入FAST频道</t>
  </si>
  <si>
    <t>日活用户数</t>
  </si>
  <si>
    <t>未来和凌顶是广告覆盖用户，动态经营数据</t>
  </si>
  <si>
    <t>CDN单价（元/G）</t>
  </si>
  <si>
    <t>CPM单价</t>
  </si>
  <si>
    <t>模式一:  1、假定码率为最低2.3M/s，CDN单价为0.04元/G；
             2、广告播放次数：开机1次，30分钟内每15分钟一次，超出30分钟为每10分钟一次；
             3、假定日活用户数为10万户，用户分布按现有用户分布比例进行测算。</t>
  </si>
  <si>
    <t>用户分布</t>
  </si>
  <si>
    <t>10万日活用户（万元/月）</t>
  </si>
  <si>
    <t>结论</t>
  </si>
  <si>
    <t>收视分钟数（1min）</t>
  </si>
  <si>
    <t>收视分钟数（5min）</t>
  </si>
  <si>
    <t>收视分钟数（10min）</t>
  </si>
  <si>
    <t>收视分钟数（15min）</t>
  </si>
  <si>
    <t>收视分钟数（20min）</t>
  </si>
  <si>
    <t>收视分钟数（25min）</t>
  </si>
  <si>
    <t>收视分钟数（30min）</t>
  </si>
  <si>
    <t>收视分钟数（60min）</t>
  </si>
  <si>
    <t>总收入</t>
  </si>
  <si>
    <t>总成本</t>
  </si>
  <si>
    <t>总利润</t>
  </si>
  <si>
    <t>净利润</t>
  </si>
  <si>
    <t>净利率</t>
  </si>
  <si>
    <t>三七分</t>
  </si>
  <si>
    <t>五五分</t>
  </si>
  <si>
    <t>业务假设：</t>
  </si>
  <si>
    <t>假设一：CPM单价50%为10,50%为5</t>
  </si>
  <si>
    <t>1、目前实际用户分布集中在头尾部，收视1分钟以内占比最高，其次为收视60分钟及以上，收视5分钟-30分钟占比最小；
2、假定日用户数10万户，用户分布按现有用户分布比例测算，当CPM单价50%为10,50%为5时，毛利率为34%；CPM单价30%为10,70%为5时，毛利率为24%；CPM为4.95时达到盈亏平衡点；
3、随着收视时长增加，利润率逐步降低，需提高收视25分钟以上区间的利润率；
4、目前FAST广告CPM没有固定标准，参考国内中小平台收视60分钟，单次广告时长15s平均定价18元测算，毛利率达72%；
5、目前业务码率是4M/s，后续码率最低2.3M/s起，需考虑码率设置为最低的可行性；
6、通过敏感性分析，后期可通过降低CDN成本、提高客户粘性使CPM增加来提高利润率，业务需考虑几种方式的可行性。</t>
  </si>
  <si>
    <t>敏感性分析：</t>
  </si>
  <si>
    <t>变量</t>
  </si>
  <si>
    <t>总收入变动</t>
  </si>
  <si>
    <t>总成本变动</t>
  </si>
  <si>
    <t>总利润变动</t>
  </si>
  <si>
    <t>净利润变动</t>
  </si>
  <si>
    <t>毛利率变动</t>
  </si>
  <si>
    <t>净利率变动</t>
  </si>
  <si>
    <t>成本：</t>
  </si>
  <si>
    <t>收视分钟数（min）</t>
  </si>
  <si>
    <r>
      <rPr>
        <sz val="11"/>
        <color theme="1"/>
        <rFont val="微软雅黑"/>
        <charset val="134"/>
      </rPr>
      <t xml:space="preserve">CDN单价 </t>
    </r>
    <r>
      <rPr>
        <b/>
        <sz val="11"/>
        <color rgb="FFFF0000"/>
        <rFont val="微软雅黑"/>
        <charset val="134"/>
      </rPr>
      <t>+/-</t>
    </r>
    <r>
      <rPr>
        <sz val="11"/>
        <color theme="1"/>
        <rFont val="微软雅黑"/>
        <charset val="134"/>
      </rPr>
      <t>10%</t>
    </r>
  </si>
  <si>
    <r>
      <rPr>
        <sz val="11"/>
        <color theme="1"/>
        <rFont val="微软雅黑"/>
        <charset val="134"/>
      </rPr>
      <t xml:space="preserve">CPM </t>
    </r>
    <r>
      <rPr>
        <b/>
        <sz val="11"/>
        <color rgb="FFFF0000"/>
        <rFont val="微软雅黑"/>
        <charset val="134"/>
      </rPr>
      <t>+/-</t>
    </r>
    <r>
      <rPr>
        <sz val="11"/>
        <color theme="1"/>
        <rFont val="微软雅黑"/>
        <charset val="134"/>
      </rPr>
      <t>10%</t>
    </r>
  </si>
  <si>
    <t>收入达到200万规模，需要发展日活用户数（万户）：</t>
  </si>
  <si>
    <t>单用户成本（元/天）</t>
  </si>
  <si>
    <t>备注：若不考虑广告收入，纯成本投入每月3.1万，年投入37.2万。</t>
  </si>
  <si>
    <t>假设二：CPM单价30%为10,70%为5</t>
  </si>
  <si>
    <t>收入：</t>
  </si>
  <si>
    <t>单用户收入（元/天）</t>
  </si>
  <si>
    <t>假设三：CPM单价100%为4</t>
  </si>
  <si>
    <t>渠道分成：</t>
  </si>
  <si>
    <t>假设一：利润三七分（百视通70%）</t>
  </si>
  <si>
    <t>净利率（CPM单价50%为10,50%为5）</t>
  </si>
  <si>
    <t>净利率（CPM单价30%为10,70%为5）</t>
  </si>
  <si>
    <t>假设二：利润五五分</t>
  </si>
  <si>
    <t>按行业中小平台收视60分钟，单次15s广告平均定价：CPM定为18</t>
  </si>
  <si>
    <t>模式二:  1、假定码率为最低2.3M/s，CDN单价为0.04元/G；
             2、广告播放次数：开机1次，30分钟内每15分钟一次，超出30分钟为每10分钟一次；
             3、假定日活用户数为10万户，头尾两端用户分布按现有用户分布峰值进行测算。</t>
  </si>
  <si>
    <t>10万用户（万元/月）</t>
  </si>
  <si>
    <t>1、目前实际用户分布集中在头尾部，收视1分钟以内占比最高，其次为收视60分钟及以上，收视5分钟-30分钟占比最小；
2、假定日用户数10万户，用户分布按现有用户分布峰值进行测算（收视1分钟取最小值，收视60分钟取最大值），当CPM单价50%为10,50%为5时，毛利率为26%；CPM单价30%为10,70%为5时，毛利率为14%；CPM为5.58时达到盈亏平衡点；
3、随着收视时长增加，利润率逐步降低，需提高收视30分钟以上区间的利润率；
4、目前FAST广告CPM没有固定标准，参考国内中小平台收视60分钟，单次广告时长15s平均定价18元测算，毛利率达79%；
5、目前业务码率是4M/s，后续码率最低2.3M/s起，需考虑码率设置为最低的可行性；
6、通过敏感性分析，后期可通过降低CDN成本、提高客户粘性使CPM增加来提高利润率，业务需考虑几种方式的可行性。</t>
  </si>
  <si>
    <t>备注：若不考虑广告收入，纯成本投入每月4.2万，年投入50.4万。</t>
  </si>
  <si>
    <t xml:space="preserve">模式三:  1、假定码率为最低2.3M/s，CDN单价为0.04元/G；
             2、广告播放次数：开机1次，30分钟内每15分钟一次，超出30分钟为每10分钟一次；
             3、假定日活用户数为10万户，用户分布考虑业务成熟期用户粘性高特点，按收视60分钟以上占比最高，收视1分钟内占比最低进行测算。
            </t>
  </si>
  <si>
    <t>1、目前实际用户分布集中在头尾部，收视1分钟以内占比最高，其次为收视60分钟及以上，收视5分钟-30分钟占比最小；
2、假定日用户数10万户，用户分布按业务成熟期用户粘性高特点，按收视60分钟以上占比最高，收视1分钟内占比最低进行测算；当CPM单价50%为10,50%为5时，毛利率为9%；CPM单价30%为10,70%为5时，毛利率为-4%；CPM为6.79时达到盈亏平衡点；
3、随着收视时长增加，利润率逐步降低，需提高收视30分钟以上区间的利润率；
4、目前FAST广告CPM没有固定标准，参考国内中小平台收视60分钟，单次广告时长15s平均定价18元测算，毛利率达62%；
5、目前业务码率是4M/s，后续码率最低2.3M/s起，需考虑码率设置为最低的可行性；
6、通过敏感性分析，后期可通过降低CDN成本、提高客户粘性使CPM增加来提高利润率，业务需考虑几种方式的可行性。</t>
  </si>
  <si>
    <t>备注：若不考虑广告收入，纯成本投入每月8.9万，年投入106.8万。</t>
  </si>
  <si>
    <t xml:space="preserve">根据业务及技术提供的测算假设如下：
1、收视分钟数假定为1min、5min、10min、15min、20min、25min、30min、60min8种情况，广告播放次数：开机1次，30分钟内每15分钟一次，超出30分钟为每10分钟一次；
2、成本假设：码率设为4Mb/s，CDN单价为0.04元/Gb，按1Gb=1000Mb换算；
3、用户分布假设：假定日用户规模为10万，分3种模式进行测算，模式一按现有用户分布情况测算（1min占比最大），模式二取根据现有用户分布头尾两端（1min取最低，60min取最高）峰值测算，模式三按业务成熟期60min占比最大、1min占比最小测算；
4、CPM单价假设：假设单价为10或5，结合2种不同权重进行测算；另外假设单价为4测算；
5、渠道分成假设：按三七分、五五分进行测算。
</t>
  </si>
  <si>
    <t xml:space="preserve">主要结论：
项目盈亏的关键在用户收视时长分布
1、模式一情形下CPM 8.61元时达到盈亏平衡点，模式二下CPM 9.7元时达到盈亏平衡点，模式三下CPM 11.81元时达到盈亏平衡点；
2、随着收视时长增加，利润率逐步降低，盈亏平衡点CPM上涨，业务需加强运营管理，考虑10分钟之后码率降为2.3M/s；
3、模式一情形下，年收入200万需要月用户达到35万户/40万户/66万户；不考虑广告收入，纯成本投入每月5.5万，年投入66万；
4、通过敏感性分析，后期可通过降低CDN成本、降低码率、提高客户粘性使CPM增加来提高利润率，业务需考虑几种方式的可行性。
</t>
  </si>
  <si>
    <t>模式一: 1、假定码率为4M/s，CDN单价为0.04元/G；
             2、广告播放次数：开机1次，30分钟内每15分钟一次，超出30分钟为每10分钟一次；
             3、假定日活用户数为10万户，用户分布按现有用户分布比例进行测算。</t>
  </si>
  <si>
    <t>1、目前实际用户分布集中在头尾部，收视1分钟以内占比最高，其次为收视60分钟及以上，收视5分钟-30分钟占比最小；
2、假定日用户数10万户，用户分布按现有用户分布比例测算，当CPM单价50%为10,50%为5时，毛利率为-15%；CPM单价30%为10,70%为5时，毛利率为-32%；CPM为8.61时达到盈亏平衡点；
3、随着收视时长增加，利润率逐步降低，收视10分钟以上区间亏损，需提高收视10分钟以上区间的利润率；
4、目前FAST广告CPM没有固定标准，参考国内中小平台收视60分钟，单次广告时长15s平均定价18元测算，毛利率达52%；
5、通过敏感性分析，后期可通过降低CDN成本、降低码率、提高客户粘性使CPM增加来提高利润率，业务需考虑几种方式的可行性。</t>
  </si>
  <si>
    <t>备注：若不考虑广告收入，纯成本投入每月5.5万，年投入66万。</t>
  </si>
  <si>
    <t>模式二: 1、假定码率为4M/s，CDN单价为0.04元/G；
             2、广告播放次数：开机1次，30分钟内每15分钟一次，超出30分钟为每10分钟一次；
             3、假定日活用户数为10万户，头尾两端用户分布按现有用户分布峰值进行测算。</t>
  </si>
  <si>
    <t>1、目前实际用户分布集中在头尾部，收视1分钟以内占比最高，其次为收视60分钟及以上，收视5分钟-30分钟占比最小；
2、假定日用户数10万户，用户分布按现有用户分布峰值进行测算（收视1分钟取最小值，收视60分钟取最大值），当CPM单价50%为10,50%为5时，毛利率为-29%；CPM单价30%为10,70%为5时，毛利率为-49%；CPM为9.7时达到盈亏平衡点；
3、随着收视时长增加，利润率逐步降低，收视10分钟以上区间亏损，需提高收视10分钟以上区间的利润率；
4、目前FAST广告CPM没有固定标准，参考国内中小平台收视60分钟，单次广告时长15s平均定价18元测算，毛利率达46%；
5、通过敏感性分析，后期可通过降低CDN成本、降低码率、提高客户粘性使CPM增加来提高利润率，业务需考虑几种方式的可行性。</t>
  </si>
  <si>
    <t>备注：若不考虑广告收入，纯成本投入每月7.2万，年投入86.4万。</t>
  </si>
  <si>
    <t xml:space="preserve">模式三: 1、假定码率为4M/s，CDN单价为0.04元/G；
             2、广告播放次数：开机1次，30分钟内每15分钟一次，超出30分钟为每10分钟一次；
             3、假定日活用户数为10万户，用户分布考虑业务成熟期用户粘性高特点，按收视60分钟以上占比最高，收视1分钟内占比最低进行测算。
            </t>
  </si>
  <si>
    <t>1、目前实际用户分布集中在头尾部，收视1分钟以内占比最高，其次为收视60分钟及以上，收视5分钟-30分钟占比最小；
2、假定日用户数10万户，用户分布按业务成熟期用户粘性高特点，按收视60分钟以上占比最高，收视1分钟内占比最低进行测算；当CPM单价50%为10,50%为5时，毛利率为-57%；CPM单价30%为10,70%为5时，毛利率为-82%；CPM为11.81时达到盈亏平衡点；
3、随着收视时长增加，利润率逐步降低，收视10分钟以上区间亏损，需提高收视10分钟以上区间的利润率；
4、目前FAST广告CPM没有固定标准，参考国内中小平台收视60分钟，单次广告时长15s平均定价18元测算，毛利率达34%；
5、通过敏感性分析，后期可通过降低CDN成本、降低码率、提高客户粘性使CPM增加来提高利润率，业务需考虑几种方式的可行性。</t>
  </si>
  <si>
    <t>备注：若不考虑广告收入，纯成本投入每月15.4万，年投入184.8万。</t>
  </si>
  <si>
    <t>以下为AI搜索：</t>
  </si>
  <si>
    <t>国内头部平台</t>
  </si>
  <si>
    <t>国内中小平台</t>
  </si>
  <si>
    <t>广告时长</t>
  </si>
  <si>
    <t>行业CPM均价（按收视及广告时长）</t>
  </si>
  <si>
    <t>15s</t>
  </si>
  <si>
    <t>8-12元</t>
  </si>
  <si>
    <t>12-18元</t>
  </si>
  <si>
    <t>18-25元</t>
  </si>
  <si>
    <t>25-35元</t>
  </si>
  <si>
    <t>40-60元</t>
  </si>
  <si>
    <t>4-8元</t>
  </si>
  <si>
    <t>6-12元</t>
  </si>
  <si>
    <t>10-16元</t>
  </si>
  <si>
    <t>16-22元</t>
  </si>
  <si>
    <t>30s</t>
  </si>
  <si>
    <t>7-10元</t>
  </si>
  <si>
    <t>22-32元</t>
  </si>
  <si>
    <t>36-55元</t>
  </si>
  <si>
    <t>3-7元</t>
  </si>
  <si>
    <t>5-10元</t>
  </si>
  <si>
    <t>8-14元</t>
  </si>
  <si>
    <t>14-20元</t>
  </si>
  <si>
    <t>1min</t>
  </si>
  <si>
    <t>5-8元</t>
  </si>
  <si>
    <t>14-18元</t>
  </si>
  <si>
    <t>20-28元</t>
  </si>
  <si>
    <t>32-48元</t>
  </si>
  <si>
    <t>2-5元</t>
  </si>
  <si>
    <t>7-12元</t>
  </si>
  <si>
    <t>5min</t>
  </si>
  <si>
    <t>3-6元</t>
  </si>
  <si>
    <t>6-10元</t>
  </si>
  <si>
    <t>10-14元</t>
  </si>
  <si>
    <t>28-40元</t>
  </si>
  <si>
    <t>1-3元</t>
  </si>
  <si>
    <t>5-9元</t>
  </si>
  <si>
    <t>行业广告平均播放次数</t>
  </si>
  <si>
    <t>行业广告播放次数</t>
  </si>
  <si>
    <t>1次</t>
  </si>
  <si>
    <t>2次</t>
  </si>
  <si>
    <t>4次</t>
  </si>
  <si>
    <t>8次</t>
  </si>
  <si>
    <t>3次</t>
  </si>
  <si>
    <t>5次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</si>
</sst>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_ * #,##0.0_ ;_ * \-#,##0.0_ ;_ * &quot;-&quot;??_ ;_ @_ "/>
    <numFmt numFmtId="178" formatCode="_ * #,##0.0_ ;_ * \-#,##0.0_ ;_ * &quot;-&quot;??.0_ ;_ @_ "/>
  </numFmts>
  <fonts count="25">
    <font>
      <sz val="12"/>
      <color theme="1"/>
      <name val="等线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0" applyNumberFormat="0" applyFill="0" applyAlignment="0" applyProtection="0">
      <alignment vertical="center"/>
    </xf>
    <xf numFmtId="0" fontId="11" fillId="0" borderId="40" applyNumberFormat="0" applyFill="0" applyAlignment="0" applyProtection="0">
      <alignment vertical="center"/>
    </xf>
    <xf numFmtId="0" fontId="12" fillId="0" borderId="4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2" applyNumberFormat="0" applyAlignment="0" applyProtection="0">
      <alignment vertical="center"/>
    </xf>
    <xf numFmtId="0" fontId="14" fillId="6" borderId="43" applyNumberFormat="0" applyAlignment="0" applyProtection="0">
      <alignment vertical="center"/>
    </xf>
    <xf numFmtId="0" fontId="15" fillId="6" borderId="42" applyNumberFormat="0" applyAlignment="0" applyProtection="0">
      <alignment vertical="center"/>
    </xf>
    <xf numFmtId="0" fontId="16" fillId="7" borderId="44" applyNumberFormat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8" fillId="0" borderId="46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58" fontId="1" fillId="2" borderId="1" xfId="0" applyNumberFormat="1" applyFont="1" applyFill="1" applyBorder="1">
      <alignment vertical="center"/>
    </xf>
    <xf numFmtId="43" fontId="1" fillId="2" borderId="0" xfId="0" applyNumberFormat="1" applyFont="1" applyFill="1">
      <alignment vertical="center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43" fontId="1" fillId="2" borderId="0" xfId="0" applyNumberFormat="1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left" vertical="top" wrapText="1"/>
    </xf>
    <xf numFmtId="176" fontId="1" fillId="2" borderId="1" xfId="0" applyNumberFormat="1" applyFont="1" applyFill="1" applyBorder="1" applyAlignment="1">
      <alignment horizontal="center" vertical="top" wrapText="1"/>
    </xf>
    <xf numFmtId="176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top" wrapText="1"/>
    </xf>
    <xf numFmtId="176" fontId="1" fillId="0" borderId="1" xfId="0" applyNumberFormat="1" applyFont="1" applyFill="1" applyBorder="1" applyAlignment="1">
      <alignment horizontal="center" vertical="top" wrapText="1"/>
    </xf>
    <xf numFmtId="9" fontId="1" fillId="2" borderId="1" xfId="3" applyNumberFormat="1" applyFont="1" applyFill="1" applyBorder="1" applyAlignment="1">
      <alignment horizontal="right" vertical="top" wrapText="1"/>
    </xf>
    <xf numFmtId="177" fontId="1" fillId="0" borderId="1" xfId="0" applyNumberFormat="1" applyFont="1" applyFill="1" applyBorder="1" applyAlignment="1">
      <alignment horizontal="center" vertical="top" wrapText="1"/>
    </xf>
    <xf numFmtId="178" fontId="1" fillId="0" borderId="1" xfId="0" applyNumberFormat="1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horizontal="center" vertical="top" wrapText="1"/>
    </xf>
    <xf numFmtId="176" fontId="1" fillId="0" borderId="1" xfId="0" applyNumberFormat="1" applyFont="1" applyFill="1" applyBorder="1" applyAlignment="1">
      <alignment horizontal="right" vertical="top" wrapText="1"/>
    </xf>
    <xf numFmtId="43" fontId="1" fillId="0" borderId="1" xfId="0" applyNumberFormat="1" applyFont="1" applyFill="1" applyBorder="1" applyAlignment="1">
      <alignment horizontal="center" vertical="top" wrapText="1"/>
    </xf>
    <xf numFmtId="0" fontId="1" fillId="2" borderId="15" xfId="0" applyFont="1" applyFill="1" applyBorder="1" applyAlignment="1">
      <alignment horizontal="left" vertical="top" wrapText="1"/>
    </xf>
    <xf numFmtId="43" fontId="1" fillId="0" borderId="16" xfId="0" applyNumberFormat="1" applyFont="1" applyFill="1" applyBorder="1" applyAlignment="1">
      <alignment horizontal="center" vertical="top" wrapText="1"/>
    </xf>
    <xf numFmtId="0" fontId="1" fillId="2" borderId="16" xfId="0" applyFont="1" applyFill="1" applyBorder="1" applyAlignment="1">
      <alignment horizontal="center" vertical="top"/>
    </xf>
    <xf numFmtId="0" fontId="1" fillId="2" borderId="17" xfId="0" applyFont="1" applyFill="1" applyBorder="1" applyAlignment="1">
      <alignment horizontal="center" vertical="top"/>
    </xf>
    <xf numFmtId="43" fontId="1" fillId="0" borderId="0" xfId="0" applyNumberFormat="1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43" fontId="1" fillId="2" borderId="10" xfId="0" applyNumberFormat="1" applyFont="1" applyFill="1" applyBorder="1" applyAlignment="1">
      <alignment horizontal="center" vertical="center"/>
    </xf>
    <xf numFmtId="43" fontId="1" fillId="2" borderId="11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43" fontId="1" fillId="2" borderId="13" xfId="0" applyNumberFormat="1" applyFont="1" applyFill="1" applyBorder="1" applyAlignment="1">
      <alignment horizontal="center" vertical="center"/>
    </xf>
    <xf numFmtId="43" fontId="1" fillId="2" borderId="1" xfId="0" applyNumberFormat="1" applyFont="1" applyFill="1" applyBorder="1" applyAlignment="1">
      <alignment horizontal="center" vertical="center" wrapText="1"/>
    </xf>
    <xf numFmtId="43" fontId="1" fillId="2" borderId="1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left" vertical="center"/>
    </xf>
    <xf numFmtId="0" fontId="3" fillId="2" borderId="13" xfId="0" applyFont="1" applyFill="1" applyBorder="1">
      <alignment vertical="center"/>
    </xf>
    <xf numFmtId="177" fontId="1" fillId="2" borderId="1" xfId="0" applyNumberFormat="1" applyFont="1" applyFill="1" applyBorder="1">
      <alignment vertical="center"/>
    </xf>
    <xf numFmtId="9" fontId="1" fillId="2" borderId="1" xfId="3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176" fontId="1" fillId="2" borderId="1" xfId="0" applyNumberFormat="1" applyFont="1" applyFill="1" applyBorder="1" applyAlignment="1">
      <alignment horizontal="right" vertical="center"/>
    </xf>
    <xf numFmtId="176" fontId="1" fillId="2" borderId="14" xfId="0" applyNumberFormat="1" applyFont="1" applyFill="1" applyBorder="1" applyAlignment="1">
      <alignment horizontal="right" vertical="center"/>
    </xf>
    <xf numFmtId="0" fontId="1" fillId="2" borderId="13" xfId="0" applyFont="1" applyFill="1" applyBorder="1" applyAlignment="1">
      <alignment vertical="center"/>
    </xf>
    <xf numFmtId="9" fontId="3" fillId="2" borderId="1" xfId="3" applyFont="1" applyFill="1" applyBorder="1" applyAlignment="1">
      <alignment horizontal="right" vertical="center"/>
    </xf>
    <xf numFmtId="9" fontId="1" fillId="2" borderId="1" xfId="3" applyNumberFormat="1" applyFont="1" applyFill="1" applyBorder="1" applyAlignment="1">
      <alignment horizontal="right" vertical="center"/>
    </xf>
    <xf numFmtId="9" fontId="1" fillId="2" borderId="14" xfId="3" applyFont="1" applyFill="1" applyBorder="1" applyAlignment="1">
      <alignment horizontal="right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 wrapText="1"/>
    </xf>
    <xf numFmtId="0" fontId="3" fillId="2" borderId="13" xfId="0" applyFont="1" applyFill="1" applyBorder="1" applyAlignment="1">
      <alignment vertical="center"/>
    </xf>
    <xf numFmtId="178" fontId="1" fillId="2" borderId="1" xfId="0" applyNumberFormat="1" applyFont="1" applyFill="1" applyBorder="1" applyAlignment="1">
      <alignment vertical="center"/>
    </xf>
    <xf numFmtId="178" fontId="1" fillId="2" borderId="1" xfId="0" applyNumberFormat="1" applyFont="1" applyFill="1" applyBorder="1">
      <alignment vertical="center"/>
    </xf>
    <xf numFmtId="0" fontId="1" fillId="2" borderId="1" xfId="0" applyFont="1" applyFill="1" applyBorder="1" applyAlignment="1">
      <alignment horizontal="right" vertical="center"/>
    </xf>
    <xf numFmtId="9" fontId="1" fillId="2" borderId="1" xfId="3" applyFont="1" applyFill="1" applyBorder="1" applyAlignment="1">
      <alignment horizontal="right" vertical="center"/>
    </xf>
    <xf numFmtId="43" fontId="1" fillId="2" borderId="1" xfId="0" applyNumberFormat="1" applyFont="1" applyFill="1" applyBorder="1" applyAlignment="1">
      <alignment horizontal="right" vertical="center"/>
    </xf>
    <xf numFmtId="43" fontId="1" fillId="2" borderId="14" xfId="0" applyNumberFormat="1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center" vertical="center"/>
    </xf>
    <xf numFmtId="43" fontId="3" fillId="2" borderId="14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vertical="center" wrapText="1"/>
    </xf>
    <xf numFmtId="9" fontId="1" fillId="2" borderId="1" xfId="3" applyFont="1" applyFill="1" applyBorder="1" applyAlignment="1">
      <alignment vertical="center"/>
    </xf>
    <xf numFmtId="0" fontId="3" fillId="2" borderId="13" xfId="0" applyFont="1" applyFill="1" applyBorder="1" applyAlignment="1">
      <alignment horizontal="left" vertical="center"/>
    </xf>
    <xf numFmtId="177" fontId="1" fillId="2" borderId="28" xfId="0" applyNumberFormat="1" applyFont="1" applyFill="1" applyBorder="1" applyAlignment="1">
      <alignment horizontal="right" vertical="center"/>
    </xf>
    <xf numFmtId="177" fontId="1" fillId="2" borderId="1" xfId="0" applyNumberFormat="1" applyFont="1" applyFill="1" applyBorder="1" applyAlignment="1">
      <alignment horizontal="right" vertical="center"/>
    </xf>
    <xf numFmtId="0" fontId="1" fillId="2" borderId="13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/>
    </xf>
    <xf numFmtId="177" fontId="1" fillId="2" borderId="16" xfId="0" applyNumberFormat="1" applyFont="1" applyFill="1" applyBorder="1" applyAlignment="1">
      <alignment horizontal="right" vertical="center"/>
    </xf>
    <xf numFmtId="9" fontId="1" fillId="2" borderId="16" xfId="3" applyFont="1" applyFill="1" applyBorder="1" applyAlignment="1">
      <alignment horizontal="right" vertical="center"/>
    </xf>
    <xf numFmtId="0" fontId="1" fillId="2" borderId="16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177" fontId="1" fillId="2" borderId="0" xfId="0" applyNumberFormat="1" applyFont="1" applyFill="1" applyAlignment="1">
      <alignment horizontal="right" vertical="center"/>
    </xf>
    <xf numFmtId="9" fontId="1" fillId="2" borderId="0" xfId="3" applyFont="1" applyFill="1" applyAlignment="1">
      <alignment horizontal="right" vertical="center"/>
    </xf>
    <xf numFmtId="0" fontId="1" fillId="2" borderId="15" xfId="0" applyFont="1" applyFill="1" applyBorder="1" applyAlignment="1">
      <alignment horizontal="center" vertical="center"/>
    </xf>
    <xf numFmtId="9" fontId="1" fillId="2" borderId="17" xfId="3" applyFont="1" applyFill="1" applyBorder="1" applyAlignment="1">
      <alignment horizontal="right" vertical="center"/>
    </xf>
    <xf numFmtId="0" fontId="3" fillId="2" borderId="0" xfId="0" applyFont="1" applyFill="1">
      <alignment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center" vertical="center"/>
    </xf>
    <xf numFmtId="9" fontId="1" fillId="2" borderId="30" xfId="3" applyFont="1" applyFill="1" applyBorder="1" applyAlignment="1">
      <alignment horizontal="right" vertical="center"/>
    </xf>
    <xf numFmtId="9" fontId="1" fillId="2" borderId="31" xfId="3" applyFont="1" applyFill="1" applyBorder="1" applyAlignment="1">
      <alignment horizontal="right" vertical="center"/>
    </xf>
    <xf numFmtId="0" fontId="3" fillId="2" borderId="33" xfId="0" applyFont="1" applyFill="1" applyBorder="1" applyAlignment="1">
      <alignment horizontal="left" vertical="center"/>
    </xf>
    <xf numFmtId="43" fontId="1" fillId="2" borderId="31" xfId="0" applyNumberFormat="1" applyFont="1" applyFill="1" applyBorder="1" applyAlignment="1">
      <alignment horizontal="right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43" fontId="1" fillId="2" borderId="13" xfId="0" applyNumberFormat="1" applyFont="1" applyFill="1" applyBorder="1" applyAlignment="1">
      <alignment horizontal="left" vertical="center"/>
    </xf>
    <xf numFmtId="43" fontId="1" fillId="2" borderId="1" xfId="0" applyNumberFormat="1" applyFont="1" applyFill="1" applyBorder="1" applyAlignment="1">
      <alignment horizontal="left" vertical="center"/>
    </xf>
    <xf numFmtId="43" fontId="1" fillId="2" borderId="1" xfId="0" applyNumberFormat="1" applyFont="1" applyFill="1" applyBorder="1" applyAlignment="1">
      <alignment vertical="center"/>
    </xf>
    <xf numFmtId="0" fontId="1" fillId="2" borderId="36" xfId="0" applyFont="1" applyFill="1" applyBorder="1" applyAlignment="1">
      <alignment horizontal="center" vertical="center"/>
    </xf>
    <xf numFmtId="9" fontId="1" fillId="2" borderId="28" xfId="3" applyFont="1" applyFill="1" applyBorder="1" applyAlignment="1">
      <alignment horizontal="right" vertical="center"/>
    </xf>
    <xf numFmtId="9" fontId="1" fillId="2" borderId="29" xfId="3" applyFont="1" applyFill="1" applyBorder="1" applyAlignment="1">
      <alignment horizontal="right" vertical="center"/>
    </xf>
    <xf numFmtId="0" fontId="3" fillId="2" borderId="32" xfId="0" applyFont="1" applyFill="1" applyBorder="1" applyAlignment="1">
      <alignment vertical="center" wrapText="1"/>
    </xf>
    <xf numFmtId="178" fontId="1" fillId="2" borderId="28" xfId="0" applyNumberFormat="1" applyFont="1" applyFill="1" applyBorder="1" applyAlignment="1">
      <alignment vertical="center"/>
    </xf>
    <xf numFmtId="178" fontId="1" fillId="2" borderId="16" xfId="0" applyNumberFormat="1" applyFont="1" applyFill="1" applyBorder="1" applyAlignment="1">
      <alignment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43" fontId="1" fillId="3" borderId="1" xfId="0" applyNumberFormat="1" applyFont="1" applyFill="1" applyBorder="1">
      <alignment vertical="center"/>
    </xf>
    <xf numFmtId="43" fontId="1" fillId="2" borderId="1" xfId="0" applyNumberFormat="1" applyFont="1" applyFill="1" applyBorder="1">
      <alignment vertical="center"/>
    </xf>
    <xf numFmtId="178" fontId="1" fillId="3" borderId="1" xfId="0" applyNumberFormat="1" applyFont="1" applyFill="1" applyBorder="1">
      <alignment vertical="center"/>
    </xf>
    <xf numFmtId="176" fontId="1" fillId="2" borderId="1" xfId="0" applyNumberFormat="1" applyFont="1" applyFill="1" applyBorder="1" applyAlignment="1">
      <alignment vertical="center"/>
    </xf>
    <xf numFmtId="176" fontId="1" fillId="3" borderId="1" xfId="0" applyNumberFormat="1" applyFont="1" applyFill="1" applyBorder="1" applyAlignment="1">
      <alignment vertical="center"/>
    </xf>
    <xf numFmtId="178" fontId="1" fillId="2" borderId="0" xfId="0" applyNumberFormat="1" applyFont="1" applyFill="1">
      <alignment vertical="center"/>
    </xf>
    <xf numFmtId="176" fontId="1" fillId="2" borderId="0" xfId="0" applyNumberFormat="1" applyFont="1" applyFill="1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10" fontId="0" fillId="0" borderId="0" xfId="3" applyNumberFormat="1" applyFont="1">
      <alignment vertical="center"/>
    </xf>
    <xf numFmtId="43" fontId="0" fillId="0" borderId="0" xfId="0" applyNumberFormat="1" applyFont="1" applyFill="1" applyAlignment="1">
      <alignment vertical="center"/>
    </xf>
    <xf numFmtId="43" fontId="0" fillId="0" borderId="0" xfId="0" applyNumberFormat="1">
      <alignment vertical="center"/>
    </xf>
    <xf numFmtId="9" fontId="0" fillId="0" borderId="0" xfId="3" applyFont="1">
      <alignment vertical="center"/>
    </xf>
    <xf numFmtId="10" fontId="0" fillId="3" borderId="0" xfId="3" applyNumberFormat="1" applyFont="1" applyFill="1">
      <alignment vertical="center"/>
    </xf>
    <xf numFmtId="0" fontId="4" fillId="0" borderId="0" xfId="0" applyFont="1" applyFill="1" applyAlignment="1"/>
    <xf numFmtId="0" fontId="0" fillId="0" borderId="0" xfId="0" applyFill="1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3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17"/>
  <sheetViews>
    <sheetView workbookViewId="0">
      <selection activeCell="G28" sqref="G28"/>
    </sheetView>
  </sheetViews>
  <sheetFormatPr defaultColWidth="9.06666666666667" defaultRowHeight="15.75"/>
  <cols>
    <col min="3" max="3" width="12.6333333333333" customWidth="1"/>
    <col min="4" max="4" width="9" customWidth="1"/>
    <col min="5" max="5" width="12.225" customWidth="1"/>
    <col min="6" max="6" width="14.875" style="146" customWidth="1"/>
    <col min="7" max="7" width="19.25" style="146" customWidth="1"/>
    <col min="8" max="8" width="13.05" customWidth="1"/>
    <col min="9" max="9" width="28.125" customWidth="1"/>
    <col min="10" max="10" width="17.125" style="146" customWidth="1"/>
    <col min="12" max="12" width="9.46666666666667" style="146"/>
    <col min="17" max="18" width="10.375"/>
  </cols>
  <sheetData>
    <row r="1" spans="1:18">
      <c r="A1" t="s">
        <v>0</v>
      </c>
      <c r="B1">
        <v>100000</v>
      </c>
      <c r="C1" t="s">
        <v>1</v>
      </c>
      <c r="D1" s="150" t="s">
        <v>2</v>
      </c>
      <c r="E1" t="s">
        <v>3</v>
      </c>
      <c r="F1" s="146" t="s">
        <v>4</v>
      </c>
      <c r="G1" s="146" t="s">
        <v>5</v>
      </c>
      <c r="H1" s="150" t="s">
        <v>6</v>
      </c>
      <c r="I1" t="s">
        <v>7</v>
      </c>
      <c r="J1" s="146" t="s">
        <v>8</v>
      </c>
      <c r="L1" s="146" t="s">
        <v>9</v>
      </c>
      <c r="M1" t="s">
        <v>10</v>
      </c>
      <c r="O1" t="s">
        <v>11</v>
      </c>
      <c r="Q1" t="s">
        <v>12</v>
      </c>
      <c r="R1" t="s">
        <v>13</v>
      </c>
    </row>
    <row r="2" spans="1:18">
      <c r="A2">
        <f>B2*$B$1</f>
        <v>30000</v>
      </c>
      <c r="B2" s="151">
        <v>0.3</v>
      </c>
      <c r="C2">
        <v>0.04</v>
      </c>
      <c r="D2">
        <v>2.3</v>
      </c>
      <c r="E2">
        <v>60</v>
      </c>
      <c r="F2" s="146">
        <f>C2*D2*E2*60/1000/8</f>
        <v>0.0414</v>
      </c>
      <c r="G2" s="146">
        <f>F2*30</f>
        <v>1.242</v>
      </c>
      <c r="H2">
        <v>10</v>
      </c>
      <c r="I2">
        <v>6</v>
      </c>
      <c r="J2" s="146">
        <f>H2*I2/1000</f>
        <v>0.06</v>
      </c>
      <c r="L2" s="146">
        <f>J2-F2</f>
        <v>0.0186</v>
      </c>
      <c r="M2" s="147">
        <f>L2/J2</f>
        <v>0.31</v>
      </c>
      <c r="O2" s="146">
        <f>F2/I2*1000</f>
        <v>6.9</v>
      </c>
      <c r="Q2" s="146">
        <f>A2*G2</f>
        <v>37260</v>
      </c>
      <c r="R2" s="146">
        <f>J2*30*A2</f>
        <v>54000</v>
      </c>
    </row>
    <row r="3" spans="1:18">
      <c r="A3">
        <f>B3*$B$1</f>
        <v>10000</v>
      </c>
      <c r="B3" s="151">
        <v>0.1</v>
      </c>
      <c r="C3">
        <v>0.04</v>
      </c>
      <c r="D3">
        <v>2.3</v>
      </c>
      <c r="E3">
        <v>30</v>
      </c>
      <c r="F3" s="146">
        <f>C3*D3*E3*60/1000/8</f>
        <v>0.0207</v>
      </c>
      <c r="G3" s="146">
        <f>F3*30</f>
        <v>0.621</v>
      </c>
      <c r="H3">
        <v>10</v>
      </c>
      <c r="I3">
        <v>3</v>
      </c>
      <c r="J3" s="146">
        <f>H3*I3/1000</f>
        <v>0.03</v>
      </c>
      <c r="L3" s="146">
        <f>J3-F3</f>
        <v>0.0093</v>
      </c>
      <c r="M3" s="147">
        <f>L3/J3</f>
        <v>0.31</v>
      </c>
      <c r="O3" s="146">
        <f>F3/I3*1000</f>
        <v>6.9</v>
      </c>
      <c r="Q3" s="146">
        <f>F3*A3</f>
        <v>207</v>
      </c>
      <c r="R3" s="146">
        <f>J3*30*A3</f>
        <v>9000</v>
      </c>
    </row>
    <row r="4" spans="1:18">
      <c r="A4">
        <f>B4*$B$1</f>
        <v>10000</v>
      </c>
      <c r="B4" s="151">
        <v>0.1</v>
      </c>
      <c r="C4">
        <v>0.04</v>
      </c>
      <c r="D4">
        <v>2.3</v>
      </c>
      <c r="E4">
        <v>15</v>
      </c>
      <c r="F4" s="146">
        <f>C4*D4*E4*60/1000/8</f>
        <v>0.01035</v>
      </c>
      <c r="G4" s="146">
        <f>F4*30</f>
        <v>0.3105</v>
      </c>
      <c r="H4">
        <v>10</v>
      </c>
      <c r="I4">
        <v>2</v>
      </c>
      <c r="J4" s="146">
        <f>H4*I4/1000</f>
        <v>0.02</v>
      </c>
      <c r="L4" s="146">
        <f>J4-F4</f>
        <v>0.00965</v>
      </c>
      <c r="M4" s="147">
        <f>L4/J4</f>
        <v>0.4825</v>
      </c>
      <c r="O4" s="146">
        <f>F4/I4*1000</f>
        <v>5.175</v>
      </c>
      <c r="Q4" s="146">
        <f>F4*A4</f>
        <v>103.5</v>
      </c>
      <c r="R4" s="146">
        <f>J4*30*A4</f>
        <v>6000</v>
      </c>
    </row>
    <row r="5" spans="1:18">
      <c r="A5">
        <f>B5*$B$1</f>
        <v>20000</v>
      </c>
      <c r="B5" s="151">
        <v>0.2</v>
      </c>
      <c r="C5">
        <v>0.04</v>
      </c>
      <c r="D5">
        <v>2.3</v>
      </c>
      <c r="E5">
        <v>5</v>
      </c>
      <c r="F5" s="146">
        <f>C5*D5*E5*60/1000/8</f>
        <v>0.00345</v>
      </c>
      <c r="G5" s="146">
        <f>F5*30</f>
        <v>0.1035</v>
      </c>
      <c r="H5">
        <v>10</v>
      </c>
      <c r="I5">
        <v>1</v>
      </c>
      <c r="J5" s="146">
        <f>H5*I5/1000</f>
        <v>0.01</v>
      </c>
      <c r="L5" s="146">
        <f>J5-F5</f>
        <v>0.00655</v>
      </c>
      <c r="M5" s="147">
        <f>L5/J5</f>
        <v>0.655</v>
      </c>
      <c r="O5" s="146">
        <f>F5/I5*1000</f>
        <v>3.45</v>
      </c>
      <c r="Q5" s="146">
        <f>F5*A5</f>
        <v>69</v>
      </c>
      <c r="R5" s="146">
        <f>J5*30*A5</f>
        <v>6000</v>
      </c>
    </row>
    <row r="6" spans="1:18">
      <c r="A6">
        <f>B6*$B$1</f>
        <v>30000</v>
      </c>
      <c r="B6" s="151">
        <v>0.3</v>
      </c>
      <c r="C6">
        <v>0.04</v>
      </c>
      <c r="D6">
        <v>2.3</v>
      </c>
      <c r="E6">
        <v>1</v>
      </c>
      <c r="F6" s="146">
        <f>C6*D6*E6*60/1000/8</f>
        <v>0.00069</v>
      </c>
      <c r="G6" s="146">
        <f>F6*30</f>
        <v>0.0207</v>
      </c>
      <c r="H6">
        <v>10</v>
      </c>
      <c r="I6">
        <v>1</v>
      </c>
      <c r="J6" s="146">
        <f>H6*I6/1000</f>
        <v>0.01</v>
      </c>
      <c r="L6" s="146">
        <f>J6-F6</f>
        <v>0.00931</v>
      </c>
      <c r="M6" s="147">
        <f>L6/J6</f>
        <v>0.931</v>
      </c>
      <c r="O6" s="146">
        <f>F6/I6*1000</f>
        <v>0.69</v>
      </c>
      <c r="Q6" s="146">
        <f>F6*A6</f>
        <v>20.7</v>
      </c>
      <c r="R6" s="146">
        <f>J6*30*A6</f>
        <v>9000</v>
      </c>
    </row>
    <row r="7" spans="1:18">
      <c r="B7" s="151"/>
      <c r="M7" s="147"/>
      <c r="O7" s="146"/>
      <c r="Q7" s="146">
        <f>SUM(Q2:Q6)</f>
        <v>37660.2</v>
      </c>
      <c r="R7" s="146">
        <f>SUM(R2:R6)</f>
        <v>84000</v>
      </c>
    </row>
    <row r="8" spans="1:18">
      <c r="B8" s="151"/>
      <c r="M8" s="147"/>
      <c r="O8" s="146"/>
      <c r="Q8" s="146"/>
      <c r="R8" s="146"/>
    </row>
    <row r="9" spans="1:18">
      <c r="A9">
        <f>B9*$B$1</f>
        <v>30000</v>
      </c>
      <c r="B9" s="151">
        <v>0.3</v>
      </c>
      <c r="C9">
        <v>0.04</v>
      </c>
      <c r="D9">
        <v>2.3</v>
      </c>
      <c r="E9">
        <v>60</v>
      </c>
      <c r="F9" s="146">
        <f t="shared" ref="F9:F15" si="0">C9*D9*E9*60/1000/8</f>
        <v>0.0414</v>
      </c>
      <c r="G9" s="146">
        <f t="shared" ref="G9:G15" si="1">F9*30</f>
        <v>1.242</v>
      </c>
      <c r="H9">
        <v>5</v>
      </c>
      <c r="I9">
        <v>5</v>
      </c>
      <c r="J9" s="146">
        <f t="shared" ref="J9:J15" si="2">H9*I9/1000</f>
        <v>0.025</v>
      </c>
      <c r="L9" s="146">
        <f>J9-F9</f>
        <v>-0.0164</v>
      </c>
      <c r="M9" s="147">
        <f>L9/J9</f>
        <v>-0.656</v>
      </c>
      <c r="O9" s="146">
        <f>F9/I9*1000</f>
        <v>8.28</v>
      </c>
      <c r="Q9" s="146">
        <f>A9*G9</f>
        <v>37260</v>
      </c>
      <c r="R9" s="146">
        <f>J9*30*A9</f>
        <v>22500</v>
      </c>
    </row>
    <row r="10" spans="1:18">
      <c r="A10">
        <f>B10*$B$1</f>
        <v>10000</v>
      </c>
      <c r="B10" s="151">
        <v>0.1</v>
      </c>
      <c r="C10">
        <v>0.04</v>
      </c>
      <c r="D10">
        <v>2.3</v>
      </c>
      <c r="E10">
        <v>30</v>
      </c>
      <c r="F10" s="146">
        <f t="shared" si="0"/>
        <v>0.0207</v>
      </c>
      <c r="G10" s="146">
        <f t="shared" si="1"/>
        <v>0.621</v>
      </c>
      <c r="H10">
        <v>5</v>
      </c>
      <c r="I10">
        <v>3</v>
      </c>
      <c r="J10" s="146">
        <f t="shared" si="2"/>
        <v>0.015</v>
      </c>
      <c r="L10" s="146">
        <f>J10-F10</f>
        <v>-0.0057</v>
      </c>
      <c r="M10" s="147">
        <f>L10/J10</f>
        <v>-0.38</v>
      </c>
      <c r="O10" s="146">
        <f>F10/I10*1000</f>
        <v>6.9</v>
      </c>
      <c r="Q10" s="146">
        <f>F10*A10</f>
        <v>207</v>
      </c>
      <c r="R10" s="146">
        <f>J10*30*A10</f>
        <v>4500</v>
      </c>
    </row>
    <row r="11" spans="1:18">
      <c r="A11">
        <f>B11*$B$1</f>
        <v>10000</v>
      </c>
      <c r="B11" s="151">
        <v>0.1</v>
      </c>
      <c r="C11">
        <v>0.04</v>
      </c>
      <c r="D11">
        <v>2.3</v>
      </c>
      <c r="E11">
        <v>15</v>
      </c>
      <c r="F11" s="146">
        <f t="shared" si="0"/>
        <v>0.01035</v>
      </c>
      <c r="G11" s="146">
        <f t="shared" si="1"/>
        <v>0.3105</v>
      </c>
      <c r="H11">
        <v>5</v>
      </c>
      <c r="I11">
        <v>2</v>
      </c>
      <c r="J11" s="146">
        <f t="shared" si="2"/>
        <v>0.01</v>
      </c>
      <c r="L11" s="146">
        <f>J11-F11</f>
        <v>-0.00035</v>
      </c>
      <c r="M11" s="147">
        <f>L11/J11</f>
        <v>-0.035</v>
      </c>
      <c r="O11" s="146">
        <f>F11/I11*1000</f>
        <v>5.175</v>
      </c>
      <c r="Q11" s="146">
        <f>F11*A11</f>
        <v>103.5</v>
      </c>
      <c r="R11" s="146">
        <f>J11*30*A11</f>
        <v>3000</v>
      </c>
    </row>
    <row r="12" spans="1:18">
      <c r="A12">
        <f>B12*$B$1</f>
        <v>20000</v>
      </c>
      <c r="B12" s="151">
        <v>0.2</v>
      </c>
      <c r="C12">
        <v>0.04</v>
      </c>
      <c r="D12">
        <v>2.3</v>
      </c>
      <c r="E12">
        <v>5</v>
      </c>
      <c r="F12" s="146">
        <f t="shared" si="0"/>
        <v>0.00345</v>
      </c>
      <c r="G12" s="146">
        <f t="shared" si="1"/>
        <v>0.1035</v>
      </c>
      <c r="H12">
        <v>5</v>
      </c>
      <c r="I12">
        <v>1</v>
      </c>
      <c r="J12" s="146">
        <f t="shared" si="2"/>
        <v>0.005</v>
      </c>
      <c r="L12" s="146">
        <f>J12-F12</f>
        <v>0.00155</v>
      </c>
      <c r="M12" s="147">
        <f>L12/J12</f>
        <v>0.31</v>
      </c>
      <c r="O12" s="146">
        <f>F12/I12*1000</f>
        <v>3.45</v>
      </c>
      <c r="Q12" s="146">
        <f>F12*A12</f>
        <v>69</v>
      </c>
      <c r="R12" s="146">
        <f>J12*30*A12</f>
        <v>3000</v>
      </c>
    </row>
    <row r="13" spans="1:18">
      <c r="A13">
        <f>B13*$B$1</f>
        <v>30000</v>
      </c>
      <c r="B13" s="151">
        <v>0.3</v>
      </c>
      <c r="C13">
        <v>0.04</v>
      </c>
      <c r="D13">
        <v>2.3</v>
      </c>
      <c r="E13">
        <v>1</v>
      </c>
      <c r="F13" s="146">
        <f t="shared" si="0"/>
        <v>0.00069</v>
      </c>
      <c r="G13" s="146">
        <f t="shared" si="1"/>
        <v>0.0207</v>
      </c>
      <c r="H13">
        <v>5</v>
      </c>
      <c r="I13">
        <v>1</v>
      </c>
      <c r="J13" s="146">
        <f t="shared" si="2"/>
        <v>0.005</v>
      </c>
      <c r="L13" s="146">
        <f>J13-F13</f>
        <v>0.00431</v>
      </c>
      <c r="M13" s="147">
        <f>L13/J13</f>
        <v>0.862</v>
      </c>
      <c r="O13" s="146">
        <f>F13/I13*1000</f>
        <v>0.69</v>
      </c>
      <c r="Q13" s="146">
        <f>F13*A13</f>
        <v>20.7</v>
      </c>
      <c r="R13" s="146">
        <f>J13*30*A13</f>
        <v>4500</v>
      </c>
    </row>
    <row r="14" spans="1:18">
      <c r="C14">
        <v>0.04</v>
      </c>
      <c r="D14">
        <v>2.3</v>
      </c>
      <c r="F14" s="146">
        <f t="shared" si="0"/>
        <v>0</v>
      </c>
      <c r="G14" s="146">
        <f t="shared" si="1"/>
        <v>0</v>
      </c>
      <c r="H14">
        <v>5</v>
      </c>
      <c r="J14" s="146">
        <f t="shared" si="2"/>
        <v>0</v>
      </c>
      <c r="Q14" s="146">
        <f>SUM(Q9:Q13)</f>
        <v>37660.2</v>
      </c>
      <c r="R14" s="146">
        <f>SUM(R9:R13)</f>
        <v>37500</v>
      </c>
    </row>
    <row r="15" spans="1:18">
      <c r="C15">
        <v>0.04</v>
      </c>
      <c r="D15">
        <v>4</v>
      </c>
      <c r="E15">
        <v>60</v>
      </c>
      <c r="F15" s="146">
        <f t="shared" si="0"/>
        <v>0.072</v>
      </c>
      <c r="G15" s="146">
        <f t="shared" si="1"/>
        <v>2.16</v>
      </c>
      <c r="J15" s="146">
        <f t="shared" si="2"/>
        <v>0</v>
      </c>
    </row>
    <row r="17" spans="3:13">
      <c r="C17" s="152" t="s">
        <v>14</v>
      </c>
      <c r="D17" s="152"/>
      <c r="E17" s="152"/>
      <c r="F17" s="153"/>
      <c r="G17" s="153"/>
      <c r="H17" s="152"/>
      <c r="I17" s="152"/>
      <c r="J17" s="153"/>
      <c r="K17" s="152"/>
      <c r="L17" s="153"/>
      <c r="M17" s="152"/>
    </row>
  </sheetData>
  <mergeCells count="1">
    <mergeCell ref="C17:M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63"/>
  <sheetViews>
    <sheetView zoomScale="130" zoomScaleNormal="130" workbookViewId="0">
      <selection activeCell="C27" sqref="C27"/>
    </sheetView>
  </sheetViews>
  <sheetFormatPr defaultColWidth="9.06666666666667" defaultRowHeight="15.75"/>
  <cols>
    <col min="1" max="1" width="11.375" customWidth="1"/>
    <col min="2" max="2" width="9.85833333333333" customWidth="1"/>
    <col min="3" max="3" width="13.05" customWidth="1"/>
    <col min="4" max="4" width="13.75" customWidth="1"/>
    <col min="5" max="5" width="11.25" customWidth="1"/>
    <col min="6" max="6" width="16.125" customWidth="1"/>
    <col min="7" max="7" width="11.5" customWidth="1"/>
    <col min="8" max="8" width="9.375" customWidth="1"/>
    <col min="9" max="9" width="16.125" customWidth="1"/>
    <col min="10" max="10" width="16" customWidth="1"/>
    <col min="11" max="11" width="16.125" customWidth="1"/>
    <col min="12" max="12" width="16" customWidth="1"/>
    <col min="13" max="13" width="16.125" customWidth="1"/>
    <col min="14" max="14" width="12.625"/>
  </cols>
  <sheetData>
    <row r="1" spans="1:13">
      <c r="B1" t="s">
        <v>0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21</v>
      </c>
      <c r="L1" t="s">
        <v>22</v>
      </c>
      <c r="M1" t="s">
        <v>23</v>
      </c>
    </row>
    <row r="2" spans="1:13">
      <c r="A2" s="143"/>
      <c r="B2">
        <v>34</v>
      </c>
      <c r="C2">
        <v>60</v>
      </c>
      <c r="D2" s="144">
        <f>ROUND(B2/$B$7,4)</f>
        <v>0.2237</v>
      </c>
      <c r="E2" s="145">
        <v>2.3</v>
      </c>
      <c r="F2" s="145">
        <v>0.04</v>
      </c>
      <c r="G2" s="146">
        <f t="shared" ref="G2:G6" si="0">B2*C2*E2*F2*60/1000/8</f>
        <v>1.4076</v>
      </c>
      <c r="H2" s="146">
        <f>1+INT(C2/15)</f>
        <v>5</v>
      </c>
      <c r="I2" s="146">
        <v>5</v>
      </c>
      <c r="J2" s="146">
        <f t="shared" ref="J2:J6" si="1">I2*H2*B2/1000</f>
        <v>0.85</v>
      </c>
      <c r="K2" s="145">
        <v>10</v>
      </c>
      <c r="L2" s="146">
        <f t="shared" ref="L2:L6" si="2">B2*H2*K2/1000</f>
        <v>1.7</v>
      </c>
      <c r="M2" s="146">
        <f>G2/H2/B2*1000</f>
        <v>8.28</v>
      </c>
    </row>
    <row r="3" spans="1:13">
      <c r="B3">
        <v>7</v>
      </c>
      <c r="C3">
        <v>30</v>
      </c>
      <c r="D3" s="144">
        <f>ROUND(B3/$B$7,4)</f>
        <v>0.0461</v>
      </c>
      <c r="E3" s="145">
        <v>2.3</v>
      </c>
      <c r="F3" s="145">
        <v>0.04</v>
      </c>
      <c r="G3" s="146">
        <f t="shared" si="0"/>
        <v>0.1449</v>
      </c>
      <c r="H3" s="146">
        <f t="shared" ref="H2:H6" si="3">1+INT(C3/15)</f>
        <v>3</v>
      </c>
      <c r="I3" s="146">
        <v>5</v>
      </c>
      <c r="J3" s="146">
        <f t="shared" si="1"/>
        <v>0.105</v>
      </c>
      <c r="K3" s="145">
        <v>10</v>
      </c>
      <c r="L3" s="146">
        <f t="shared" si="2"/>
        <v>0.21</v>
      </c>
      <c r="M3" s="146">
        <f t="shared" ref="M2:M6" si="4">G3/H3/B3*1000</f>
        <v>6.9</v>
      </c>
    </row>
    <row r="4" spans="1:13">
      <c r="B4">
        <v>4</v>
      </c>
      <c r="C4">
        <v>15</v>
      </c>
      <c r="D4" s="144">
        <f>ROUND(B4/$B$7,4)</f>
        <v>0.0263</v>
      </c>
      <c r="E4" s="145">
        <v>2.3</v>
      </c>
      <c r="F4" s="145">
        <v>0.04</v>
      </c>
      <c r="G4" s="146">
        <f t="shared" si="0"/>
        <v>0.0414</v>
      </c>
      <c r="H4" s="146">
        <f t="shared" si="3"/>
        <v>2</v>
      </c>
      <c r="I4" s="146">
        <v>5</v>
      </c>
      <c r="J4" s="146">
        <f t="shared" si="1"/>
        <v>0.04</v>
      </c>
      <c r="K4" s="145">
        <v>10</v>
      </c>
      <c r="L4" s="146">
        <f t="shared" si="2"/>
        <v>0.08</v>
      </c>
      <c r="M4" s="146">
        <f t="shared" si="4"/>
        <v>5.175</v>
      </c>
    </row>
    <row r="5" spans="1:13">
      <c r="B5">
        <v>7</v>
      </c>
      <c r="C5">
        <v>5</v>
      </c>
      <c r="D5" s="144">
        <f>ROUND(B5/$B$7,4)</f>
        <v>0.0461</v>
      </c>
      <c r="E5" s="145">
        <v>2.3</v>
      </c>
      <c r="F5" s="145">
        <v>0.04</v>
      </c>
      <c r="G5" s="146">
        <f t="shared" si="0"/>
        <v>0.02415</v>
      </c>
      <c r="H5" s="146">
        <f t="shared" si="3"/>
        <v>1</v>
      </c>
      <c r="I5" s="146">
        <v>5</v>
      </c>
      <c r="J5" s="146">
        <f t="shared" si="1"/>
        <v>0.035</v>
      </c>
      <c r="K5" s="145">
        <v>10</v>
      </c>
      <c r="L5" s="146">
        <f t="shared" si="2"/>
        <v>0.07</v>
      </c>
      <c r="M5" s="146">
        <f t="shared" si="4"/>
        <v>3.45</v>
      </c>
    </row>
    <row r="6" spans="1:13">
      <c r="B6">
        <v>100</v>
      </c>
      <c r="C6">
        <v>1</v>
      </c>
      <c r="D6" s="144">
        <f>ROUND(B6/$B$7,4)</f>
        <v>0.6579</v>
      </c>
      <c r="E6" s="145">
        <v>2.3</v>
      </c>
      <c r="F6" s="145">
        <v>0.04</v>
      </c>
      <c r="G6" s="146">
        <f t="shared" si="0"/>
        <v>0.069</v>
      </c>
      <c r="H6" s="146">
        <f t="shared" si="3"/>
        <v>1</v>
      </c>
      <c r="I6" s="146">
        <v>5</v>
      </c>
      <c r="J6" s="146">
        <f t="shared" si="1"/>
        <v>0.5</v>
      </c>
      <c r="K6" s="145">
        <v>10</v>
      </c>
      <c r="L6" s="146">
        <f t="shared" si="2"/>
        <v>1</v>
      </c>
      <c r="M6" s="146">
        <f t="shared" si="4"/>
        <v>0.69</v>
      </c>
    </row>
    <row r="7" spans="1:13">
      <c r="A7" t="s">
        <v>24</v>
      </c>
      <c r="B7">
        <f>SUM(B2:B6)</f>
        <v>152</v>
      </c>
      <c r="E7" s="146"/>
      <c r="F7" s="146"/>
      <c r="G7" s="146">
        <f t="shared" ref="G7:L7" si="5">SUM(G2:G6)</f>
        <v>1.68705</v>
      </c>
      <c r="H7" s="146"/>
      <c r="I7" s="146"/>
      <c r="J7" s="146">
        <f t="shared" si="5"/>
        <v>1.53</v>
      </c>
      <c r="K7" s="146"/>
      <c r="L7" s="146">
        <f t="shared" si="5"/>
        <v>3.06</v>
      </c>
      <c r="M7" s="146"/>
    </row>
    <row r="8" spans="1:13">
      <c r="E8" s="146"/>
      <c r="F8" s="146"/>
      <c r="G8" s="146"/>
      <c r="H8" s="146"/>
      <c r="I8" s="146"/>
      <c r="J8" s="146"/>
      <c r="K8" s="146"/>
      <c r="L8" s="146"/>
      <c r="M8" s="146"/>
    </row>
    <row r="9" spans="1:13">
      <c r="B9">
        <v>149</v>
      </c>
      <c r="C9">
        <v>60</v>
      </c>
      <c r="D9" s="147">
        <f>ROUND(B9/B$14,4)</f>
        <v>0.1789</v>
      </c>
      <c r="E9" s="145">
        <v>2.3</v>
      </c>
      <c r="F9" s="145">
        <v>0.04</v>
      </c>
      <c r="G9" s="146">
        <f t="shared" ref="G9:G13" si="6">B9*C9*E9*F9*60/1000/8</f>
        <v>6.1686</v>
      </c>
      <c r="H9" s="146">
        <f t="shared" ref="H9:H13" si="7">1+INT(C9/15)</f>
        <v>5</v>
      </c>
      <c r="I9" s="145">
        <v>5</v>
      </c>
      <c r="J9" s="146">
        <f t="shared" ref="J9:J13" si="8">I9*H9*B9/1000</f>
        <v>3.725</v>
      </c>
      <c r="K9" s="145">
        <v>10</v>
      </c>
      <c r="L9" s="146">
        <f t="shared" ref="L9:L13" si="9">B9*H9*K9/1000</f>
        <v>7.45</v>
      </c>
      <c r="M9" s="146"/>
    </row>
    <row r="10" spans="1:13">
      <c r="B10">
        <v>25</v>
      </c>
      <c r="C10">
        <v>30</v>
      </c>
      <c r="D10" s="147">
        <f>ROUND(B10/B$14,4)</f>
        <v>0.03</v>
      </c>
      <c r="E10" s="145">
        <v>2.3</v>
      </c>
      <c r="F10" s="145">
        <v>0.04</v>
      </c>
      <c r="G10" s="146">
        <f t="shared" si="6"/>
        <v>0.5175</v>
      </c>
      <c r="H10" s="146">
        <f t="shared" si="7"/>
        <v>3</v>
      </c>
      <c r="I10" s="145">
        <v>5</v>
      </c>
      <c r="J10" s="146">
        <f t="shared" si="8"/>
        <v>0.375</v>
      </c>
      <c r="K10" s="145">
        <v>10</v>
      </c>
      <c r="L10" s="146">
        <f t="shared" si="9"/>
        <v>0.75</v>
      </c>
      <c r="M10" s="146"/>
    </row>
    <row r="11" spans="1:13">
      <c r="B11">
        <v>42</v>
      </c>
      <c r="C11">
        <v>15</v>
      </c>
      <c r="D11" s="147">
        <f>ROUND(B11/B$14,4)</f>
        <v>0.0504</v>
      </c>
      <c r="E11" s="145">
        <v>2.3</v>
      </c>
      <c r="F11" s="145">
        <v>0.04</v>
      </c>
      <c r="G11" s="146">
        <f t="shared" si="6"/>
        <v>0.4347</v>
      </c>
      <c r="H11" s="146">
        <f t="shared" si="7"/>
        <v>2</v>
      </c>
      <c r="I11" s="145">
        <v>5</v>
      </c>
      <c r="J11" s="146">
        <f t="shared" si="8"/>
        <v>0.42</v>
      </c>
      <c r="K11" s="145">
        <v>10</v>
      </c>
      <c r="L11" s="146">
        <f t="shared" si="9"/>
        <v>0.84</v>
      </c>
      <c r="M11" s="146"/>
    </row>
    <row r="12" spans="1:13">
      <c r="B12">
        <v>39</v>
      </c>
      <c r="C12">
        <v>5</v>
      </c>
      <c r="D12" s="147">
        <f>ROUND(B12/B$14,4)</f>
        <v>0.0468</v>
      </c>
      <c r="E12" s="145">
        <v>2.3</v>
      </c>
      <c r="F12" s="145">
        <v>0.04</v>
      </c>
      <c r="G12" s="146">
        <f t="shared" si="6"/>
        <v>0.13455</v>
      </c>
      <c r="H12" s="146">
        <f t="shared" si="7"/>
        <v>1</v>
      </c>
      <c r="I12" s="145">
        <v>5</v>
      </c>
      <c r="J12" s="146">
        <f t="shared" si="8"/>
        <v>0.195</v>
      </c>
      <c r="K12" s="145">
        <v>10</v>
      </c>
      <c r="L12" s="146">
        <f t="shared" si="9"/>
        <v>0.39</v>
      </c>
      <c r="M12" s="146"/>
    </row>
    <row r="13" spans="1:13">
      <c r="B13">
        <v>578</v>
      </c>
      <c r="C13">
        <v>1</v>
      </c>
      <c r="D13" s="147">
        <f>ROUND(B13/B$14,4)</f>
        <v>0.6939</v>
      </c>
      <c r="E13" s="145">
        <v>2.3</v>
      </c>
      <c r="F13" s="145">
        <v>0.04</v>
      </c>
      <c r="G13" s="146">
        <f t="shared" si="6"/>
        <v>0.39882</v>
      </c>
      <c r="H13" s="146">
        <f t="shared" si="7"/>
        <v>1</v>
      </c>
      <c r="I13" s="145">
        <v>5</v>
      </c>
      <c r="J13" s="146">
        <f t="shared" si="8"/>
        <v>2.89</v>
      </c>
      <c r="K13" s="145">
        <v>10</v>
      </c>
      <c r="L13" s="146">
        <f t="shared" si="9"/>
        <v>5.78</v>
      </c>
      <c r="M13" s="146"/>
    </row>
    <row r="14" spans="1:13">
      <c r="A14" t="s">
        <v>25</v>
      </c>
      <c r="B14">
        <f>SUM(B9:B13)</f>
        <v>833</v>
      </c>
      <c r="E14" s="146"/>
      <c r="F14" s="146"/>
      <c r="G14" s="146">
        <f t="shared" ref="G14:L14" si="10">SUM(G9:G13)</f>
        <v>7.65417</v>
      </c>
      <c r="H14" s="146"/>
      <c r="I14" s="146"/>
      <c r="J14" s="146">
        <f t="shared" si="10"/>
        <v>7.605</v>
      </c>
      <c r="K14" s="146"/>
      <c r="L14" s="146">
        <f t="shared" si="10"/>
        <v>15.21</v>
      </c>
      <c r="M14" s="146"/>
    </row>
    <row r="15" spans="1:13">
      <c r="E15" s="146"/>
      <c r="F15" s="146"/>
      <c r="G15" s="146"/>
      <c r="H15" s="146"/>
      <c r="I15" s="146"/>
      <c r="J15" s="146"/>
      <c r="K15" s="146"/>
      <c r="L15" s="146"/>
      <c r="M15" s="146"/>
    </row>
    <row r="16" spans="1:13">
      <c r="B16">
        <v>723</v>
      </c>
      <c r="C16">
        <v>60</v>
      </c>
      <c r="D16" s="147">
        <f>ROUND(B16/$B$21,4)</f>
        <v>0.2743</v>
      </c>
      <c r="E16" s="145">
        <v>2.3</v>
      </c>
      <c r="F16" s="145">
        <v>0.04</v>
      </c>
      <c r="G16" s="146">
        <f t="shared" ref="G16:G20" si="11">B16*C16*E16*F16*60/1000/8</f>
        <v>29.9322</v>
      </c>
      <c r="H16" s="146">
        <f t="shared" ref="H16:H20" si="12">1+INT(C16/15)</f>
        <v>5</v>
      </c>
      <c r="I16" s="145">
        <v>5</v>
      </c>
      <c r="J16" s="146">
        <f t="shared" ref="J16:J20" si="13">I16*H16*B16/1000</f>
        <v>18.075</v>
      </c>
      <c r="K16" s="145">
        <v>10</v>
      </c>
      <c r="L16" s="146">
        <f t="shared" ref="L16:L20" si="14">B16*H16*K16/1000</f>
        <v>36.15</v>
      </c>
      <c r="M16" s="146"/>
    </row>
    <row r="17" spans="1:13">
      <c r="B17">
        <v>117</v>
      </c>
      <c r="C17">
        <v>30</v>
      </c>
      <c r="D17" s="147">
        <f>ROUND(B17/$B$21,4)</f>
        <v>0.0444</v>
      </c>
      <c r="E17" s="145">
        <v>2.3</v>
      </c>
      <c r="F17" s="145">
        <v>0.04</v>
      </c>
      <c r="G17" s="146">
        <f t="shared" si="11"/>
        <v>2.4219</v>
      </c>
      <c r="H17" s="146">
        <f t="shared" si="12"/>
        <v>3</v>
      </c>
      <c r="I17" s="145">
        <v>5</v>
      </c>
      <c r="J17" s="146">
        <f t="shared" si="13"/>
        <v>1.755</v>
      </c>
      <c r="K17" s="145">
        <v>10</v>
      </c>
      <c r="L17" s="146">
        <f t="shared" si="14"/>
        <v>3.51</v>
      </c>
      <c r="M17" s="146"/>
    </row>
    <row r="18" spans="1:13">
      <c r="B18">
        <v>186</v>
      </c>
      <c r="C18">
        <v>15</v>
      </c>
      <c r="D18" s="147">
        <f>ROUND(B18/$B$21,4)</f>
        <v>0.0706</v>
      </c>
      <c r="E18" s="145">
        <v>2.3</v>
      </c>
      <c r="F18" s="145">
        <v>0.04</v>
      </c>
      <c r="G18" s="146">
        <f t="shared" si="11"/>
        <v>1.9251</v>
      </c>
      <c r="H18" s="146">
        <f t="shared" si="12"/>
        <v>2</v>
      </c>
      <c r="I18" s="145">
        <v>5</v>
      </c>
      <c r="J18" s="146">
        <f t="shared" si="13"/>
        <v>1.86</v>
      </c>
      <c r="K18" s="145">
        <v>10</v>
      </c>
      <c r="L18" s="146">
        <f t="shared" si="14"/>
        <v>3.72</v>
      </c>
      <c r="M18" s="146"/>
    </row>
    <row r="19" spans="1:13">
      <c r="B19">
        <v>232</v>
      </c>
      <c r="C19">
        <v>5</v>
      </c>
      <c r="D19" s="147">
        <f>ROUND(B19/$B$21,4)</f>
        <v>0.088</v>
      </c>
      <c r="E19" s="145">
        <v>2.3</v>
      </c>
      <c r="F19" s="145">
        <v>0.04</v>
      </c>
      <c r="G19" s="146">
        <f t="shared" si="11"/>
        <v>0.8004</v>
      </c>
      <c r="H19" s="146">
        <f t="shared" si="12"/>
        <v>1</v>
      </c>
      <c r="I19" s="145">
        <v>5</v>
      </c>
      <c r="J19" s="146">
        <f t="shared" si="13"/>
        <v>1.16</v>
      </c>
      <c r="K19" s="145">
        <v>10</v>
      </c>
      <c r="L19" s="146">
        <f t="shared" si="14"/>
        <v>2.32</v>
      </c>
      <c r="M19" s="146"/>
    </row>
    <row r="20" spans="1:13">
      <c r="B20">
        <v>1378</v>
      </c>
      <c r="C20">
        <v>1</v>
      </c>
      <c r="D20" s="147">
        <f>ROUND(B20/$B$21,4)</f>
        <v>0.5228</v>
      </c>
      <c r="E20" s="145">
        <v>2.3</v>
      </c>
      <c r="F20" s="145">
        <v>0.04</v>
      </c>
      <c r="G20" s="146">
        <f t="shared" si="11"/>
        <v>0.95082</v>
      </c>
      <c r="H20" s="146">
        <f t="shared" si="12"/>
        <v>1</v>
      </c>
      <c r="I20" s="145">
        <v>5</v>
      </c>
      <c r="J20" s="146">
        <f t="shared" si="13"/>
        <v>6.89</v>
      </c>
      <c r="K20" s="145">
        <v>10</v>
      </c>
      <c r="L20" s="146">
        <f t="shared" si="14"/>
        <v>13.78</v>
      </c>
      <c r="M20" s="146"/>
    </row>
    <row r="21" spans="1:13">
      <c r="A21" t="s">
        <v>26</v>
      </c>
      <c r="B21">
        <f>SUM(B16:B20)</f>
        <v>2636</v>
      </c>
      <c r="E21" s="146"/>
      <c r="F21" s="146"/>
      <c r="G21" s="146">
        <f t="shared" ref="G21:L21" si="15">SUM(G16:G20)</f>
        <v>36.03042</v>
      </c>
      <c r="H21" s="146"/>
      <c r="I21" s="146"/>
      <c r="J21" s="146">
        <f t="shared" si="15"/>
        <v>29.74</v>
      </c>
      <c r="K21" s="146"/>
      <c r="L21" s="146">
        <f t="shared" si="15"/>
        <v>59.48</v>
      </c>
      <c r="M21" s="146"/>
    </row>
    <row r="22" spans="1:13">
      <c r="E22" s="146"/>
      <c r="F22" s="146"/>
      <c r="G22" s="146"/>
      <c r="H22" s="146"/>
      <c r="I22" s="146"/>
      <c r="J22" s="146"/>
      <c r="K22" s="146"/>
      <c r="L22" s="146"/>
      <c r="M22" s="146"/>
    </row>
    <row r="23" spans="1:13">
      <c r="C23" t="s">
        <v>15</v>
      </c>
      <c r="D23" t="s">
        <v>27</v>
      </c>
    </row>
    <row r="24" spans="1:13">
      <c r="C24">
        <v>60</v>
      </c>
      <c r="D24" s="144">
        <f>AVERAGE(D2,D9,D16)</f>
        <v>0.225633333333333</v>
      </c>
    </row>
    <row r="25" spans="1:13">
      <c r="C25">
        <v>30</v>
      </c>
      <c r="D25" s="144">
        <f>AVERAGE(D3,D10,D17)</f>
        <v>0.0401666666666667</v>
      </c>
    </row>
    <row r="26" spans="1:13">
      <c r="C26">
        <v>15</v>
      </c>
      <c r="D26" s="144">
        <f>AVERAGE(D4,D11,D18)</f>
        <v>0.0491</v>
      </c>
    </row>
    <row r="27" spans="1:13">
      <c r="C27">
        <v>5</v>
      </c>
      <c r="D27" s="144">
        <f>AVERAGE(D5,D12,D19)</f>
        <v>0.0603</v>
      </c>
    </row>
    <row r="28" spans="1:13">
      <c r="C28">
        <v>1</v>
      </c>
      <c r="D28" s="144">
        <f>AVERAGE(D6,D13,D20)</f>
        <v>0.624866666666667</v>
      </c>
    </row>
    <row r="31" spans="1:13">
      <c r="B31" t="s">
        <v>28</v>
      </c>
      <c r="E31" t="s">
        <v>29</v>
      </c>
      <c r="H31" t="s">
        <v>30</v>
      </c>
    </row>
    <row r="32" spans="1:13">
      <c r="A32" t="s">
        <v>15</v>
      </c>
      <c r="B32" t="s">
        <v>0</v>
      </c>
      <c r="C32" t="s">
        <v>16</v>
      </c>
      <c r="E32" t="s">
        <v>0</v>
      </c>
      <c r="F32" t="s">
        <v>16</v>
      </c>
      <c r="H32" t="s">
        <v>0</v>
      </c>
      <c r="I32" t="s">
        <v>16</v>
      </c>
      <c r="J32" t="s">
        <v>27</v>
      </c>
    </row>
    <row r="33" spans="1:14">
      <c r="A33">
        <v>60</v>
      </c>
      <c r="B33">
        <v>426</v>
      </c>
      <c r="C33" s="144">
        <f>B33/$B$41</f>
        <v>0.149841716496658</v>
      </c>
      <c r="E33">
        <v>127</v>
      </c>
      <c r="F33" s="144">
        <f>E33/$E$41</f>
        <v>0.152460984393757</v>
      </c>
      <c r="H33">
        <v>643</v>
      </c>
      <c r="I33" s="148">
        <f>H33/$H$41</f>
        <v>0.243930197268589</v>
      </c>
      <c r="J33" s="144">
        <f>AVERAGE(C33,F33,I33)</f>
        <v>0.182077632719668</v>
      </c>
      <c r="K33" s="144"/>
      <c r="M33">
        <v>426</v>
      </c>
      <c r="N33" s="147">
        <f>M33/$M$41</f>
        <v>0.149841716496658</v>
      </c>
    </row>
    <row r="34" spans="1:14">
      <c r="A34">
        <v>30</v>
      </c>
      <c r="B34">
        <v>30</v>
      </c>
      <c r="C34" s="144">
        <f t="shared" ref="C34:C40" si="16">B34/$B$41</f>
        <v>0.0105522335561027</v>
      </c>
      <c r="E34">
        <v>47</v>
      </c>
      <c r="F34" s="144">
        <f t="shared" ref="F34:F40" si="17">E34/$E$41</f>
        <v>0.056422569027611</v>
      </c>
      <c r="H34">
        <v>197</v>
      </c>
      <c r="I34" s="144">
        <f t="shared" ref="I34:I41" si="18">H34/$H$41</f>
        <v>0.0747344461305008</v>
      </c>
      <c r="J34" s="144">
        <f t="shared" ref="J34:J41" si="19">AVERAGE(C34,F34,I34)</f>
        <v>0.0472364162380715</v>
      </c>
      <c r="K34" s="144"/>
      <c r="M34">
        <v>30</v>
      </c>
      <c r="N34" s="147">
        <f t="shared" ref="N34:N40" si="20">M34/$M$41</f>
        <v>0.0105522335561027</v>
      </c>
    </row>
    <row r="35" spans="1:14">
      <c r="A35">
        <v>25</v>
      </c>
      <c r="B35">
        <v>38</v>
      </c>
      <c r="C35" s="144">
        <f t="shared" si="16"/>
        <v>0.0133661625043968</v>
      </c>
      <c r="E35">
        <v>15</v>
      </c>
      <c r="F35" s="144">
        <f t="shared" si="17"/>
        <v>0.0180072028811525</v>
      </c>
      <c r="H35">
        <v>51</v>
      </c>
      <c r="I35" s="144">
        <f t="shared" si="18"/>
        <v>0.0193474962063733</v>
      </c>
      <c r="J35" s="144">
        <f t="shared" si="19"/>
        <v>0.0169069538639742</v>
      </c>
      <c r="K35" s="144"/>
      <c r="M35">
        <v>38</v>
      </c>
      <c r="N35" s="147">
        <f t="shared" si="20"/>
        <v>0.0133661625043968</v>
      </c>
    </row>
    <row r="36" spans="1:14">
      <c r="A36">
        <v>20</v>
      </c>
      <c r="B36">
        <v>50</v>
      </c>
      <c r="C36" s="144">
        <f t="shared" si="16"/>
        <v>0.0175870559268378</v>
      </c>
      <c r="E36">
        <v>15</v>
      </c>
      <c r="F36" s="144">
        <f t="shared" si="17"/>
        <v>0.0180072028811525</v>
      </c>
      <c r="H36">
        <v>67</v>
      </c>
      <c r="I36" s="144">
        <f t="shared" si="18"/>
        <v>0.0254172989377845</v>
      </c>
      <c r="J36" s="144">
        <f t="shared" si="19"/>
        <v>0.0203371859152583</v>
      </c>
      <c r="K36" s="144"/>
      <c r="M36">
        <v>50</v>
      </c>
      <c r="N36" s="147">
        <f t="shared" si="20"/>
        <v>0.0175870559268378</v>
      </c>
    </row>
    <row r="37" spans="1:14">
      <c r="A37">
        <v>15</v>
      </c>
      <c r="B37">
        <v>63</v>
      </c>
      <c r="C37" s="144">
        <f t="shared" si="16"/>
        <v>0.0221596904678157</v>
      </c>
      <c r="E37">
        <v>12</v>
      </c>
      <c r="F37" s="144">
        <f t="shared" si="17"/>
        <v>0.014405762304922</v>
      </c>
      <c r="H37">
        <v>68</v>
      </c>
      <c r="I37" s="144">
        <f t="shared" si="18"/>
        <v>0.0257966616084977</v>
      </c>
      <c r="J37" s="144">
        <f t="shared" si="19"/>
        <v>0.0207873714604118</v>
      </c>
      <c r="K37" s="144"/>
      <c r="M37">
        <v>63</v>
      </c>
      <c r="N37" s="147">
        <f t="shared" si="20"/>
        <v>0.0221596904678157</v>
      </c>
    </row>
    <row r="38" spans="1:14">
      <c r="A38">
        <v>10</v>
      </c>
      <c r="B38">
        <v>71</v>
      </c>
      <c r="C38" s="144">
        <f t="shared" si="16"/>
        <v>0.0249736194161097</v>
      </c>
      <c r="E38">
        <v>15</v>
      </c>
      <c r="F38" s="144">
        <f t="shared" si="17"/>
        <v>0.0180072028811525</v>
      </c>
      <c r="H38">
        <v>100</v>
      </c>
      <c r="I38" s="144">
        <f t="shared" si="18"/>
        <v>0.0379362670713202</v>
      </c>
      <c r="J38" s="144">
        <f t="shared" si="19"/>
        <v>0.0269723631228608</v>
      </c>
      <c r="K38" s="144"/>
      <c r="M38">
        <v>71</v>
      </c>
      <c r="N38" s="147">
        <f t="shared" si="20"/>
        <v>0.0249736194161097</v>
      </c>
    </row>
    <row r="39" spans="1:14">
      <c r="A39">
        <v>5</v>
      </c>
      <c r="B39">
        <v>125</v>
      </c>
      <c r="C39" s="144">
        <f t="shared" si="16"/>
        <v>0.0439676398170946</v>
      </c>
      <c r="E39">
        <v>24</v>
      </c>
      <c r="F39" s="144">
        <f t="shared" si="17"/>
        <v>0.0288115246098439</v>
      </c>
      <c r="H39">
        <v>132</v>
      </c>
      <c r="I39" s="144">
        <f t="shared" si="18"/>
        <v>0.0500758725341426</v>
      </c>
      <c r="J39" s="144">
        <f t="shared" si="19"/>
        <v>0.040951678987027</v>
      </c>
      <c r="K39" s="144"/>
      <c r="M39">
        <v>125</v>
      </c>
      <c r="N39" s="147">
        <f t="shared" si="20"/>
        <v>0.0439676398170946</v>
      </c>
    </row>
    <row r="40" spans="1:14">
      <c r="A40">
        <v>1</v>
      </c>
      <c r="B40">
        <v>2040</v>
      </c>
      <c r="C40" s="144">
        <f t="shared" si="16"/>
        <v>0.717551881814984</v>
      </c>
      <c r="E40">
        <v>578</v>
      </c>
      <c r="F40" s="144">
        <f t="shared" si="17"/>
        <v>0.693877551020408</v>
      </c>
      <c r="H40">
        <v>1378</v>
      </c>
      <c r="I40" s="148">
        <f t="shared" si="18"/>
        <v>0.522761760242792</v>
      </c>
      <c r="J40" s="144">
        <f t="shared" si="19"/>
        <v>0.644730397692728</v>
      </c>
      <c r="K40" s="144"/>
      <c r="M40">
        <v>2040</v>
      </c>
      <c r="N40" s="147">
        <f t="shared" si="20"/>
        <v>0.717551881814984</v>
      </c>
    </row>
    <row r="41" spans="1:14">
      <c r="A41" t="s">
        <v>24</v>
      </c>
      <c r="B41">
        <f t="shared" ref="B41:F41" si="21">SUM(B33:B40)</f>
        <v>2843</v>
      </c>
      <c r="C41" s="144">
        <f t="shared" si="21"/>
        <v>1</v>
      </c>
      <c r="E41">
        <f t="shared" si="21"/>
        <v>833</v>
      </c>
      <c r="F41" s="144">
        <f t="shared" si="21"/>
        <v>1</v>
      </c>
      <c r="H41">
        <f>SUM(H33:H40)</f>
        <v>2636</v>
      </c>
      <c r="I41" s="144">
        <f>SUM(I33:I40)</f>
        <v>1</v>
      </c>
      <c r="J41" s="144">
        <f t="shared" si="19"/>
        <v>1</v>
      </c>
      <c r="M41">
        <f>SUM(M33:M40)</f>
        <v>2843</v>
      </c>
    </row>
    <row r="45" spans="1:14">
      <c r="E45" s="149"/>
      <c r="F45" s="149"/>
      <c r="H45" s="149"/>
      <c r="I45" s="149"/>
    </row>
    <row r="46" spans="1:14">
      <c r="E46" s="149"/>
      <c r="F46" s="149"/>
      <c r="H46" s="149"/>
      <c r="I46" s="149"/>
    </row>
    <row r="47" spans="1:14">
      <c r="E47" s="149"/>
      <c r="F47" s="149"/>
      <c r="H47" s="149"/>
      <c r="I47" s="149"/>
    </row>
    <row r="48" spans="1:14">
      <c r="E48" s="149"/>
      <c r="F48" s="149"/>
      <c r="H48" s="149"/>
      <c r="I48" s="149"/>
    </row>
    <row r="49" spans="5:9">
      <c r="E49" s="149"/>
      <c r="F49" s="149"/>
      <c r="H49" s="149"/>
      <c r="I49" s="149"/>
    </row>
    <row r="50" spans="5:9">
      <c r="E50" s="149"/>
      <c r="F50" s="149"/>
      <c r="H50" s="149"/>
      <c r="I50" s="149"/>
    </row>
    <row r="51" spans="5:9">
      <c r="E51" s="149"/>
      <c r="F51" s="149"/>
      <c r="H51" s="149"/>
      <c r="I51" s="149"/>
    </row>
    <row r="52" spans="5:9">
      <c r="E52" s="149"/>
      <c r="F52" s="149"/>
      <c r="H52" s="149"/>
      <c r="I52" s="149"/>
    </row>
    <row r="53" spans="5:9">
      <c r="E53" s="149"/>
      <c r="F53" s="149"/>
      <c r="H53" s="149"/>
      <c r="I53" s="149"/>
    </row>
    <row r="54" spans="5:9">
      <c r="E54" s="149"/>
      <c r="F54" s="149"/>
      <c r="H54" s="149"/>
      <c r="I54" s="149"/>
    </row>
    <row r="55" spans="5:9">
      <c r="E55" s="149"/>
      <c r="F55" s="149"/>
      <c r="H55" s="149"/>
      <c r="I55" s="149"/>
    </row>
    <row r="56" spans="5:9">
      <c r="E56" s="149"/>
      <c r="F56" s="149"/>
      <c r="H56" s="149"/>
      <c r="I56" s="149"/>
    </row>
    <row r="57" spans="5:9">
      <c r="E57" s="149"/>
      <c r="F57" s="149"/>
      <c r="H57" s="149"/>
      <c r="I57" s="149"/>
    </row>
    <row r="58" spans="5:9">
      <c r="E58" s="149"/>
      <c r="F58" s="149"/>
      <c r="H58" s="149"/>
      <c r="I58" s="149"/>
    </row>
    <row r="59" spans="5:9">
      <c r="E59" s="149"/>
      <c r="F59" s="149"/>
      <c r="H59" s="149"/>
      <c r="I59" s="149"/>
    </row>
    <row r="60" spans="5:9">
      <c r="E60" s="149"/>
      <c r="F60" s="149"/>
      <c r="H60" s="149"/>
      <c r="I60" s="149"/>
    </row>
    <row r="61" spans="5:9">
      <c r="E61" s="149"/>
      <c r="F61" s="149"/>
      <c r="H61" s="149"/>
      <c r="I61" s="149"/>
    </row>
    <row r="62" spans="5:9">
      <c r="H62" s="149"/>
      <c r="I62" s="149"/>
    </row>
    <row r="63" spans="5:9">
      <c r="H63" s="149"/>
      <c r="I63" s="14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92D050"/>
    <pageSetUpPr fitToPage="1"/>
  </sheetPr>
  <dimension ref="B2:Q38"/>
  <sheetViews>
    <sheetView tabSelected="1" zoomScale="110" zoomScaleNormal="110" topLeftCell="A11" workbookViewId="0">
      <selection activeCell="M28" sqref="M28"/>
    </sheetView>
  </sheetViews>
  <sheetFormatPr defaultColWidth="9" defaultRowHeight="16.5"/>
  <cols>
    <col min="1" max="1" width="3.25" style="1" customWidth="1"/>
    <col min="2" max="2" width="9" style="1"/>
    <col min="3" max="3" width="8.63333333333333" style="1" customWidth="1"/>
    <col min="4" max="4" width="7.94166666666667" style="1" customWidth="1"/>
    <col min="5" max="5" width="7.83333333333333" style="1" customWidth="1"/>
    <col min="6" max="6" width="9.89166666666667" style="1" customWidth="1"/>
    <col min="7" max="7" width="10.3083333333333" style="1" customWidth="1"/>
    <col min="8" max="8" width="10.1" style="1" customWidth="1"/>
    <col min="9" max="9" width="14.75" style="1" customWidth="1"/>
    <col min="10" max="10" width="15.625" style="1" customWidth="1"/>
    <col min="11" max="11" width="12.3833333333333" style="1" customWidth="1"/>
    <col min="12" max="12" width="15" style="1" customWidth="1"/>
    <col min="13" max="13" width="15.5" style="1" customWidth="1"/>
    <col min="14" max="14" width="12.8333333333333" style="1" customWidth="1"/>
    <col min="15" max="15" width="15.625" style="1" customWidth="1"/>
    <col min="16" max="16" width="15.5" style="1" customWidth="1"/>
    <col min="17" max="17" width="12.8333333333333" style="1" customWidth="1"/>
    <col min="18" max="16384" width="9" style="1"/>
  </cols>
  <sheetData>
    <row r="2" spans="2:17">
      <c r="B2" s="8" t="s">
        <v>31</v>
      </c>
      <c r="C2" s="9"/>
      <c r="D2" s="9"/>
      <c r="E2" s="9"/>
      <c r="F2" s="9"/>
      <c r="G2" s="9"/>
      <c r="H2" s="9"/>
      <c r="I2" s="9"/>
      <c r="J2" s="9"/>
      <c r="K2" s="9"/>
      <c r="L2" s="10"/>
    </row>
    <row r="3" spans="2:17">
      <c r="B3" s="13"/>
      <c r="C3" s="14"/>
      <c r="D3" s="14"/>
      <c r="E3" s="14"/>
      <c r="F3" s="14"/>
      <c r="G3" s="14"/>
      <c r="H3" s="14"/>
      <c r="I3" s="14"/>
      <c r="J3" s="14"/>
      <c r="K3" s="14"/>
      <c r="L3" s="15"/>
    </row>
    <row r="4" spans="2:17">
      <c r="B4" s="13"/>
      <c r="C4" s="14"/>
      <c r="D4" s="14"/>
      <c r="E4" s="14"/>
      <c r="F4" s="14"/>
      <c r="G4" s="14"/>
      <c r="H4" s="14"/>
      <c r="I4" s="14"/>
      <c r="J4" s="14"/>
      <c r="K4" s="14"/>
      <c r="L4" s="15"/>
    </row>
    <row r="5" spans="2:17">
      <c r="B5" s="13"/>
      <c r="C5" s="14"/>
      <c r="D5" s="14"/>
      <c r="E5" s="14"/>
      <c r="F5" s="14"/>
      <c r="G5" s="14"/>
      <c r="H5" s="14"/>
      <c r="I5" s="14"/>
      <c r="J5" s="14"/>
      <c r="K5" s="14"/>
      <c r="L5" s="15"/>
    </row>
    <row r="6" spans="2:17">
      <c r="B6" s="13"/>
      <c r="C6" s="14"/>
      <c r="D6" s="14"/>
      <c r="E6" s="14"/>
      <c r="F6" s="14"/>
      <c r="G6" s="14"/>
      <c r="H6" s="14"/>
      <c r="I6" s="14"/>
      <c r="J6" s="14"/>
      <c r="K6" s="14"/>
      <c r="L6" s="15"/>
    </row>
    <row r="7" spans="2:17">
      <c r="B7" s="13"/>
      <c r="C7" s="14"/>
      <c r="D7" s="14"/>
      <c r="E7" s="14"/>
      <c r="F7" s="14"/>
      <c r="G7" s="14"/>
      <c r="H7" s="14"/>
      <c r="I7" s="14"/>
      <c r="J7" s="14"/>
      <c r="K7" s="14"/>
      <c r="L7" s="15"/>
    </row>
    <row r="8" spans="2:17">
      <c r="B8" s="13"/>
      <c r="C8" s="14"/>
      <c r="D8" s="14"/>
      <c r="E8" s="14"/>
      <c r="F8" s="14"/>
      <c r="G8" s="14"/>
      <c r="H8" s="14"/>
      <c r="I8" s="14"/>
      <c r="J8" s="14"/>
      <c r="K8" s="14"/>
      <c r="L8" s="15"/>
    </row>
    <row r="9" spans="2:17">
      <c r="B9" s="13"/>
      <c r="C9" s="14"/>
      <c r="D9" s="14"/>
      <c r="E9" s="14"/>
      <c r="F9" s="14"/>
      <c r="G9" s="14"/>
      <c r="H9" s="14"/>
      <c r="I9" s="14"/>
      <c r="J9" s="14"/>
      <c r="K9" s="14"/>
      <c r="L9" s="15"/>
    </row>
    <row r="10" spans="2:17"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5"/>
    </row>
    <row r="11" spans="2:17"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8"/>
    </row>
    <row r="12" spans="2:17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spans="2:17">
      <c r="B13" s="1" t="s">
        <v>32</v>
      </c>
    </row>
    <row r="14" spans="2:17">
      <c r="B14" s="131" t="s">
        <v>2</v>
      </c>
      <c r="C14" s="58" t="s">
        <v>33</v>
      </c>
      <c r="D14" s="58"/>
      <c r="E14" s="58"/>
      <c r="F14" s="132" t="s">
        <v>34</v>
      </c>
      <c r="G14" s="91"/>
      <c r="H14" s="92"/>
      <c r="I14" s="3" t="s">
        <v>35</v>
      </c>
      <c r="J14" s="3"/>
      <c r="K14" s="3"/>
      <c r="L14" s="3"/>
      <c r="M14" s="3"/>
      <c r="N14" s="3"/>
      <c r="O14" s="3"/>
      <c r="P14" s="3"/>
      <c r="Q14" s="3"/>
    </row>
    <row r="15" spans="2:17">
      <c r="B15" s="133"/>
      <c r="C15" s="131" t="s">
        <v>36</v>
      </c>
      <c r="D15" s="131" t="s">
        <v>37</v>
      </c>
      <c r="E15" s="131" t="s">
        <v>38</v>
      </c>
      <c r="F15" s="131" t="s">
        <v>36</v>
      </c>
      <c r="G15" s="131" t="s">
        <v>37</v>
      </c>
      <c r="H15" s="131" t="s">
        <v>38</v>
      </c>
      <c r="I15" s="3" t="s">
        <v>36</v>
      </c>
      <c r="J15" s="3"/>
      <c r="K15" s="3"/>
      <c r="L15" s="3" t="s">
        <v>37</v>
      </c>
      <c r="M15" s="3"/>
      <c r="N15" s="3"/>
      <c r="O15" s="3" t="s">
        <v>38</v>
      </c>
      <c r="P15" s="3"/>
      <c r="Q15" s="3"/>
    </row>
    <row r="16" ht="33" spans="2:17">
      <c r="B16" s="134"/>
      <c r="C16" s="134"/>
      <c r="D16" s="134" t="s">
        <v>37</v>
      </c>
      <c r="E16" s="134" t="s">
        <v>38</v>
      </c>
      <c r="F16" s="134" t="s">
        <v>36</v>
      </c>
      <c r="G16" s="134" t="s">
        <v>37</v>
      </c>
      <c r="H16" s="134" t="s">
        <v>38</v>
      </c>
      <c r="I16" s="65" t="s">
        <v>39</v>
      </c>
      <c r="J16" s="65" t="s">
        <v>40</v>
      </c>
      <c r="K16" s="135" t="s">
        <v>41</v>
      </c>
      <c r="L16" s="65" t="s">
        <v>39</v>
      </c>
      <c r="M16" s="65" t="s">
        <v>40</v>
      </c>
      <c r="N16" s="65" t="s">
        <v>41</v>
      </c>
      <c r="O16" s="65" t="s">
        <v>39</v>
      </c>
      <c r="P16" s="65" t="s">
        <v>40</v>
      </c>
      <c r="Q16" s="65" t="s">
        <v>41</v>
      </c>
    </row>
    <row r="17" spans="2:17">
      <c r="B17" s="5" t="s">
        <v>42</v>
      </c>
      <c r="C17" s="136">
        <f>'2.3码率'!K53</f>
        <v>4.95099526066351</v>
      </c>
      <c r="D17" s="137">
        <f>'2.3码率'!K89</f>
        <v>5.57542168674699</v>
      </c>
      <c r="E17" s="137">
        <f>'2.3码率'!K126</f>
        <v>6.78896551724138</v>
      </c>
      <c r="F17" s="138">
        <f>'2.3码率'!O45*12</f>
        <v>37.60776</v>
      </c>
      <c r="G17" s="83">
        <f>'2.3码率'!O81*12</f>
        <v>49.97808</v>
      </c>
      <c r="H17" s="83">
        <f>'2.3码率'!O118*12</f>
        <v>106.3152</v>
      </c>
      <c r="I17" s="139">
        <f>'2.3码率'!P45*12</f>
        <v>19.36224</v>
      </c>
      <c r="J17" s="139">
        <f>'2.3码率'!P54*12</f>
        <v>11.76624</v>
      </c>
      <c r="K17" s="140">
        <f>'2.3码率'!P63*12</f>
        <v>-7.22376</v>
      </c>
      <c r="L17" s="139">
        <f>'2.3码率'!P81*12</f>
        <v>17.25192</v>
      </c>
      <c r="M17" s="139">
        <f>'2.3码率'!P90*12</f>
        <v>8.28792</v>
      </c>
      <c r="N17" s="139">
        <f>'2.3码率'!P99*12</f>
        <v>-14.12208</v>
      </c>
      <c r="O17" s="139">
        <f>'2.3码率'!P118*12</f>
        <v>11.1348</v>
      </c>
      <c r="P17" s="139">
        <f>'2.3码率'!P127*12</f>
        <v>-4.52520000000001</v>
      </c>
      <c r="Q17" s="139">
        <f>'2.3码率'!P136*12</f>
        <v>-43.6752</v>
      </c>
    </row>
    <row r="18" spans="2:17">
      <c r="B18" s="5" t="s">
        <v>43</v>
      </c>
      <c r="C18" s="136">
        <f>'4码率'!K51</f>
        <v>8.61042654028436</v>
      </c>
      <c r="D18" s="137">
        <f>'4码率'!K80</f>
        <v>9.69638554216867</v>
      </c>
      <c r="E18" s="137">
        <f>'4码率'!K109</f>
        <v>11.8068965517241</v>
      </c>
      <c r="F18" s="138">
        <f>'4码率'!O43*12</f>
        <v>65.4048</v>
      </c>
      <c r="G18" s="83">
        <f>'4码率'!O72*12</f>
        <v>86.9184</v>
      </c>
      <c r="H18" s="83">
        <f>'4码率'!O101*12</f>
        <v>184.896</v>
      </c>
      <c r="I18" s="139">
        <f>'4码率'!P43*12</f>
        <v>-8.43480000000001</v>
      </c>
      <c r="J18" s="139">
        <f>'4码率'!P47*12</f>
        <v>-16.0308</v>
      </c>
      <c r="K18" s="140">
        <f>'4码率'!P50*12</f>
        <v>-35.0208</v>
      </c>
      <c r="L18" s="139">
        <f>'4码率'!P72*12</f>
        <v>-19.6884</v>
      </c>
      <c r="M18" s="139">
        <f>'4码率'!P76*12</f>
        <v>-28.6524</v>
      </c>
      <c r="N18" s="139">
        <f>'4码率'!P79*12</f>
        <v>-51.0624</v>
      </c>
      <c r="O18" s="139">
        <f>'4码率'!P101*12</f>
        <v>-67.446</v>
      </c>
      <c r="P18" s="139">
        <f>'4码率'!P105*12</f>
        <v>-83.106</v>
      </c>
      <c r="Q18" s="139">
        <f>'4码率'!P108*12</f>
        <v>-122.256</v>
      </c>
    </row>
    <row r="19" spans="2:17">
      <c r="C19" s="7"/>
      <c r="D19" s="7"/>
      <c r="E19" s="7"/>
      <c r="F19" s="141"/>
      <c r="G19" s="141"/>
      <c r="H19" s="141"/>
      <c r="I19" s="142"/>
      <c r="J19" s="142"/>
      <c r="K19" s="142"/>
      <c r="L19" s="142"/>
      <c r="M19" s="142"/>
      <c r="N19" s="142"/>
      <c r="O19" s="142"/>
      <c r="P19" s="142"/>
      <c r="Q19" s="142"/>
    </row>
    <row r="20" spans="2:17">
      <c r="B20" s="1" t="s">
        <v>44</v>
      </c>
      <c r="C20" s="7"/>
      <c r="D20" s="7"/>
      <c r="E20" s="7"/>
      <c r="F20" s="141"/>
      <c r="G20" s="141"/>
      <c r="H20" s="141"/>
      <c r="I20" s="142"/>
      <c r="J20" s="142"/>
      <c r="K20" s="142"/>
      <c r="L20" s="142"/>
      <c r="M20" s="142"/>
      <c r="N20" s="142"/>
      <c r="O20" s="142"/>
      <c r="P20" s="142"/>
      <c r="Q20" s="142"/>
    </row>
    <row r="21" spans="2:17">
      <c r="B21" s="131" t="s">
        <v>2</v>
      </c>
      <c r="C21" s="58"/>
      <c r="D21" s="58"/>
      <c r="E21" s="58"/>
      <c r="F21" s="132" t="s">
        <v>45</v>
      </c>
      <c r="G21" s="91"/>
      <c r="H21" s="92"/>
      <c r="I21" s="3" t="s">
        <v>46</v>
      </c>
      <c r="J21" s="3"/>
      <c r="K21" s="3"/>
      <c r="L21" s="3"/>
      <c r="M21" s="3"/>
      <c r="N21" s="3"/>
      <c r="O21" s="3"/>
      <c r="P21" s="3"/>
      <c r="Q21" s="3"/>
    </row>
    <row r="22" spans="2:17">
      <c r="B22" s="133"/>
      <c r="C22" s="131"/>
      <c r="D22" s="131"/>
      <c r="E22" s="131"/>
      <c r="F22" s="131" t="s">
        <v>36</v>
      </c>
      <c r="G22" s="131" t="s">
        <v>37</v>
      </c>
      <c r="H22" s="131" t="s">
        <v>38</v>
      </c>
      <c r="I22" s="3" t="s">
        <v>36</v>
      </c>
      <c r="J22" s="3"/>
      <c r="K22" s="3"/>
      <c r="L22" s="3" t="s">
        <v>37</v>
      </c>
      <c r="M22" s="3"/>
      <c r="N22" s="3"/>
      <c r="O22" s="3" t="s">
        <v>38</v>
      </c>
      <c r="P22" s="3"/>
      <c r="Q22" s="3"/>
    </row>
    <row r="23" ht="33" spans="2:17">
      <c r="B23" s="134"/>
      <c r="C23" s="134"/>
      <c r="D23" s="134"/>
      <c r="E23" s="134"/>
      <c r="F23" s="134" t="s">
        <v>36</v>
      </c>
      <c r="G23" s="134" t="s">
        <v>37</v>
      </c>
      <c r="H23" s="134" t="s">
        <v>38</v>
      </c>
      <c r="I23" s="65" t="s">
        <v>39</v>
      </c>
      <c r="J23" s="65" t="s">
        <v>40</v>
      </c>
      <c r="K23" s="135" t="s">
        <v>41</v>
      </c>
      <c r="L23" s="65" t="s">
        <v>39</v>
      </c>
      <c r="M23" s="65" t="s">
        <v>40</v>
      </c>
      <c r="N23" s="65" t="s">
        <v>41</v>
      </c>
      <c r="O23" s="65" t="s">
        <v>39</v>
      </c>
      <c r="P23" s="65" t="s">
        <v>40</v>
      </c>
      <c r="Q23" s="65" t="s">
        <v>41</v>
      </c>
    </row>
    <row r="24" spans="2:17">
      <c r="B24" s="5" t="s">
        <v>42</v>
      </c>
      <c r="C24" s="137"/>
      <c r="D24" s="137"/>
      <c r="E24" s="137"/>
      <c r="F24" s="138">
        <f>'2.3码率'!O45*1.33*3+'2.3码率'!O45*3.32*9</f>
        <v>106.1479026</v>
      </c>
      <c r="G24" s="83">
        <f>'2.3码率'!O81*1.33*3+'2.3码率'!O81*3.32*9</f>
        <v>141.0631308</v>
      </c>
      <c r="H24" s="83">
        <f>'2.3码率'!O118*1.33*3+'2.3码率'!O118*3.32*9</f>
        <v>300.074652</v>
      </c>
      <c r="I24" s="139">
        <f>'2.3码率'!N45*1.33*3+'2.3码率'!N45*3.32*9-F24</f>
        <v>54.6499224</v>
      </c>
      <c r="J24" s="139">
        <f>'2.3码率'!N54*1.33*3+'2.3码率'!N54*3.32*9-F24</f>
        <v>33.2102124</v>
      </c>
      <c r="K24" s="140">
        <f>'2.3码率'!N63*1.33*3+'2.3码率'!N63*3.32*9-F24</f>
        <v>-20.3890626</v>
      </c>
      <c r="L24" s="139">
        <f>'2.3码率'!N81*1.33*3+'2.3码率'!N81*3.32*9-F24</f>
        <v>83.6087724</v>
      </c>
      <c r="M24" s="139">
        <f>'2.3码率'!N90*1.33*3+'2.3码率'!N90*3.32*9-G24</f>
        <v>23.3926542</v>
      </c>
      <c r="N24" s="139">
        <f>'2.3码率'!N99*1.33*3+'2.3码率'!N99*3.32*9-G24</f>
        <v>-39.8595708</v>
      </c>
      <c r="O24" s="139">
        <f>'2.3码率'!N118*1.33*3+'2.3码率'!N118*3.32*9-H24</f>
        <v>31.427973</v>
      </c>
      <c r="P24" s="139">
        <f>'2.3码率'!N127*1.33*3+'2.3码率'!N127*3.32*9-H24</f>
        <v>-12.772377</v>
      </c>
      <c r="Q24" s="139">
        <f>'2.3码率'!N136*1.33*3+'2.3码率'!N136*3.32*9-H24</f>
        <v>-123.273252</v>
      </c>
    </row>
    <row r="25" spans="2:17">
      <c r="B25" s="5" t="s">
        <v>43</v>
      </c>
      <c r="C25" s="137"/>
      <c r="D25" s="137"/>
      <c r="E25" s="137"/>
      <c r="F25" s="138">
        <f>'4码率'!O43*1.33*3+'4码率'!O43*3.32*9</f>
        <v>184.605048</v>
      </c>
      <c r="G25" s="83">
        <f>'4码率'!O79*1.33*3+'4码率'!O79*3.32*9</f>
        <v>245.327184</v>
      </c>
      <c r="H25" s="83">
        <f>'4码率'!O108*1.33*3+'4码率'!O108*3.32*9</f>
        <v>521.86896</v>
      </c>
      <c r="I25" s="139">
        <f>'4码率'!N43*1.33*3+'4码率'!N43*3.32*9-F25</f>
        <v>-23.807223</v>
      </c>
      <c r="J25" s="139">
        <f>'4码率'!N47*1.33*3+'4码率'!N47*3.32*9-F25</f>
        <v>-45.246933</v>
      </c>
      <c r="K25" s="140">
        <f>'4码率'!N50*1.33*3+'4码率'!N50*3.32*9-F25</f>
        <v>-98.846208</v>
      </c>
      <c r="L25" s="139">
        <f>'4码率'!N72*1.33*3+'4码率'!N72*3.32*9-G25</f>
        <v>-55.570509</v>
      </c>
      <c r="M25" s="139">
        <f>'4码率'!N76*1.33*3+'4码率'!N76*3.32*9-G25</f>
        <v>-80.871399</v>
      </c>
      <c r="N25" s="139">
        <f>'4码率'!N79*1.33*3+'4码率'!N79*3.32*9-G25</f>
        <v>-144.123624</v>
      </c>
      <c r="O25" s="139">
        <f>'4码率'!N101*1.33*3+'4码率'!N101*3.32*9-H25</f>
        <v>-190.366335</v>
      </c>
      <c r="P25" s="139">
        <f>'4码率'!N105*1.33*3+'4码率'!N105*3.32*9-H25</f>
        <v>-234.566685</v>
      </c>
      <c r="Q25" s="139">
        <f>'4码率'!N108*1.33*3+'4码率'!N108*3.32*9-H25</f>
        <v>-345.06756</v>
      </c>
    </row>
    <row r="26" spans="2:17">
      <c r="C26" s="7"/>
      <c r="D26" s="7"/>
      <c r="E26" s="7"/>
      <c r="F26" s="141"/>
      <c r="G26" s="141"/>
      <c r="H26" s="141"/>
      <c r="I26" s="141"/>
      <c r="J26" s="141"/>
      <c r="K26" s="141">
        <f>F24-K24</f>
        <v>126.5369652</v>
      </c>
      <c r="L26" s="141"/>
      <c r="M26" s="141"/>
      <c r="N26" s="141"/>
      <c r="O26" s="141"/>
      <c r="P26" s="141"/>
      <c r="Q26" s="141"/>
    </row>
    <row r="27" ht="17.25" spans="2:17"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</row>
    <row r="28" spans="2:17">
      <c r="B28" s="8" t="s">
        <v>47</v>
      </c>
      <c r="C28" s="9"/>
      <c r="D28" s="9"/>
      <c r="E28" s="9"/>
      <c r="F28" s="9"/>
      <c r="G28" s="9"/>
      <c r="H28" s="9"/>
      <c r="I28" s="9"/>
      <c r="J28" s="9"/>
      <c r="K28" s="9"/>
      <c r="L28" s="10"/>
    </row>
    <row r="29" spans="2:17"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2:17"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2:17"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2:17"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2:12"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2:12"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2:12"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5"/>
    </row>
    <row r="36" spans="2:12"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2:12">
      <c r="B37" s="13"/>
      <c r="C37" s="14"/>
      <c r="D37" s="14"/>
      <c r="E37" s="14"/>
      <c r="F37" s="14"/>
      <c r="G37" s="14"/>
      <c r="H37" s="14"/>
      <c r="I37" s="14"/>
      <c r="J37" s="14"/>
      <c r="K37" s="14"/>
      <c r="L37" s="15"/>
    </row>
    <row r="38" spans="2:12"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8"/>
    </row>
  </sheetData>
  <mergeCells count="28">
    <mergeCell ref="C14:E14"/>
    <mergeCell ref="F14:H14"/>
    <mergeCell ref="I14:Q14"/>
    <mergeCell ref="I15:K15"/>
    <mergeCell ref="L15:N15"/>
    <mergeCell ref="O15:Q15"/>
    <mergeCell ref="C21:E21"/>
    <mergeCell ref="F21:H21"/>
    <mergeCell ref="I21:Q21"/>
    <mergeCell ref="I22:K22"/>
    <mergeCell ref="L22:N22"/>
    <mergeCell ref="O22:Q22"/>
    <mergeCell ref="B14:B16"/>
    <mergeCell ref="B21:B23"/>
    <mergeCell ref="C15:C16"/>
    <mergeCell ref="C22:C23"/>
    <mergeCell ref="D15:D16"/>
    <mergeCell ref="D22:D23"/>
    <mergeCell ref="E15:E16"/>
    <mergeCell ref="E22:E23"/>
    <mergeCell ref="F15:F16"/>
    <mergeCell ref="F22:F23"/>
    <mergeCell ref="G15:G16"/>
    <mergeCell ref="G22:G23"/>
    <mergeCell ref="H15:H16"/>
    <mergeCell ref="H22:H23"/>
    <mergeCell ref="B2:L11"/>
    <mergeCell ref="B28:L38"/>
  </mergeCells>
  <pageMargins left="0.75" right="0.75" top="1" bottom="1" header="0.5" footer="0.5"/>
  <pageSetup paperSize="9" scale="5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92D050"/>
  </sheetPr>
  <dimension ref="B1:AA147"/>
  <sheetViews>
    <sheetView zoomScale="80" zoomScaleNormal="80" topLeftCell="A20" workbookViewId="0">
      <selection activeCell="L39" sqref="L39"/>
    </sheetView>
  </sheetViews>
  <sheetFormatPr defaultColWidth="9" defaultRowHeight="16.5"/>
  <cols>
    <col min="1" max="1" width="1.25" style="1" customWidth="1"/>
    <col min="2" max="2" width="33.5" style="1" customWidth="1"/>
    <col min="3" max="4" width="10" style="1" customWidth="1"/>
    <col min="5" max="5" width="10.825" style="1" customWidth="1"/>
    <col min="6" max="6" width="11.525" style="1" customWidth="1"/>
    <col min="7" max="7" width="10" style="1" customWidth="1"/>
    <col min="8" max="8" width="10.9416666666667" style="1" customWidth="1"/>
    <col min="9" max="9" width="10.9333333333333" style="1" customWidth="1"/>
    <col min="10" max="10" width="11.0416666666667" style="1" customWidth="1"/>
    <col min="11" max="11" width="10.125" style="1" customWidth="1"/>
    <col min="12" max="12" width="10.875" style="7" customWidth="1"/>
    <col min="13" max="13" width="44.5833333333333" style="7" customWidth="1"/>
    <col min="14" max="14" width="8" style="7" customWidth="1"/>
    <col min="15" max="18" width="8" style="1" customWidth="1"/>
    <col min="19" max="19" width="13.225" style="1" customWidth="1"/>
    <col min="20" max="20" width="10.875" style="1" customWidth="1"/>
    <col min="21" max="21" width="12.875" style="1" customWidth="1"/>
    <col min="22" max="22" width="10.5" style="1" customWidth="1"/>
    <col min="23" max="23" width="10.375" style="1" customWidth="1"/>
    <col min="24" max="24" width="10" style="1" customWidth="1"/>
    <col min="25" max="25" width="9.875" style="1" customWidth="1"/>
    <col min="26" max="16384" width="9" style="1"/>
  </cols>
  <sheetData>
    <row r="1" ht="8" customHeight="1"/>
    <row r="2" s="1" customFormat="1" spans="2:23">
      <c r="B2" s="8" t="s">
        <v>48</v>
      </c>
      <c r="C2" s="9"/>
      <c r="D2" s="9"/>
      <c r="E2" s="9"/>
      <c r="F2" s="9"/>
      <c r="G2" s="9"/>
      <c r="H2" s="9"/>
      <c r="I2" s="9"/>
      <c r="J2" s="9"/>
      <c r="K2" s="10"/>
      <c r="L2" s="11"/>
      <c r="M2" s="11"/>
      <c r="N2" s="11"/>
      <c r="O2" s="12"/>
      <c r="P2" s="12"/>
      <c r="Q2" s="12"/>
      <c r="R2" s="12"/>
      <c r="S2" s="12"/>
      <c r="T2" s="12"/>
      <c r="U2" s="12"/>
      <c r="V2" s="12"/>
      <c r="W2" s="12"/>
    </row>
    <row r="3" s="1" customFormat="1" spans="2:23">
      <c r="B3" s="13"/>
      <c r="C3" s="14"/>
      <c r="D3" s="14"/>
      <c r="E3" s="14"/>
      <c r="F3" s="14"/>
      <c r="G3" s="14"/>
      <c r="H3" s="14"/>
      <c r="I3" s="14"/>
      <c r="J3" s="14"/>
      <c r="K3" s="15"/>
      <c r="L3" s="11"/>
      <c r="M3" s="11"/>
      <c r="N3" s="11"/>
      <c r="O3" s="12"/>
      <c r="P3" s="12"/>
      <c r="Q3" s="12"/>
      <c r="R3" s="12"/>
      <c r="S3" s="12"/>
      <c r="T3" s="12"/>
      <c r="U3" s="12"/>
      <c r="V3" s="12"/>
      <c r="W3" s="12"/>
    </row>
    <row r="4" s="1" customFormat="1" spans="2:23">
      <c r="B4" s="13"/>
      <c r="C4" s="14"/>
      <c r="D4" s="14"/>
      <c r="E4" s="14"/>
      <c r="F4" s="14"/>
      <c r="G4" s="14"/>
      <c r="H4" s="14"/>
      <c r="I4" s="14"/>
      <c r="J4" s="14"/>
      <c r="K4" s="15"/>
      <c r="L4" s="11"/>
      <c r="M4" s="11"/>
      <c r="N4" s="11"/>
      <c r="O4" s="12"/>
      <c r="P4" s="12"/>
      <c r="Q4" s="12"/>
      <c r="R4" s="12"/>
      <c r="S4" s="12"/>
      <c r="T4" s="12"/>
      <c r="U4" s="12"/>
      <c r="V4" s="12"/>
      <c r="W4" s="12"/>
    </row>
    <row r="5" s="1" customFormat="1" spans="2:23">
      <c r="B5" s="13"/>
      <c r="C5" s="14"/>
      <c r="D5" s="14"/>
      <c r="E5" s="14"/>
      <c r="F5" s="14"/>
      <c r="G5" s="14"/>
      <c r="H5" s="14"/>
      <c r="I5" s="14"/>
      <c r="J5" s="14"/>
      <c r="K5" s="15"/>
      <c r="L5" s="11"/>
      <c r="M5" s="11"/>
      <c r="N5" s="11"/>
      <c r="O5" s="12"/>
      <c r="P5" s="12"/>
      <c r="Q5" s="12"/>
      <c r="R5" s="12"/>
      <c r="S5" s="12"/>
      <c r="T5" s="12"/>
      <c r="U5" s="12"/>
      <c r="V5" s="12"/>
      <c r="W5" s="12"/>
    </row>
    <row r="6" s="1" customFormat="1" spans="2:23">
      <c r="B6" s="13"/>
      <c r="C6" s="14"/>
      <c r="D6" s="14"/>
      <c r="E6" s="14"/>
      <c r="F6" s="14"/>
      <c r="G6" s="14"/>
      <c r="H6" s="14"/>
      <c r="I6" s="14"/>
      <c r="J6" s="14"/>
      <c r="K6" s="15"/>
      <c r="L6" s="11"/>
      <c r="M6" s="11"/>
      <c r="N6" s="11"/>
      <c r="O6" s="12"/>
      <c r="P6" s="12"/>
      <c r="Q6" s="12"/>
      <c r="R6" s="12"/>
      <c r="S6" s="12"/>
      <c r="T6" s="12"/>
      <c r="U6" s="12"/>
      <c r="V6" s="12"/>
      <c r="W6" s="12"/>
    </row>
    <row r="7" s="1" customFormat="1" spans="2:23">
      <c r="B7" s="13"/>
      <c r="C7" s="14"/>
      <c r="D7" s="14"/>
      <c r="E7" s="14"/>
      <c r="F7" s="14"/>
      <c r="G7" s="14"/>
      <c r="H7" s="14"/>
      <c r="I7" s="14"/>
      <c r="J7" s="14"/>
      <c r="K7" s="15"/>
      <c r="L7" s="11"/>
      <c r="M7" s="11"/>
      <c r="N7" s="11"/>
      <c r="O7" s="12"/>
      <c r="P7" s="12"/>
      <c r="Q7" s="12"/>
      <c r="R7" s="12"/>
      <c r="S7" s="12"/>
      <c r="T7" s="12"/>
      <c r="U7" s="12"/>
      <c r="V7" s="12"/>
      <c r="W7" s="12"/>
    </row>
    <row r="8" s="1" customFormat="1" spans="2:23">
      <c r="B8" s="13"/>
      <c r="C8" s="14"/>
      <c r="D8" s="14"/>
      <c r="E8" s="14"/>
      <c r="F8" s="14"/>
      <c r="G8" s="14"/>
      <c r="H8" s="14"/>
      <c r="I8" s="14"/>
      <c r="J8" s="14"/>
      <c r="K8" s="15"/>
      <c r="L8" s="11"/>
      <c r="M8" s="11"/>
      <c r="N8" s="11"/>
      <c r="O8" s="12"/>
      <c r="P8" s="12"/>
      <c r="Q8" s="12"/>
      <c r="R8" s="12"/>
      <c r="S8" s="12"/>
      <c r="T8" s="12"/>
      <c r="U8" s="12"/>
      <c r="V8" s="12"/>
      <c r="W8" s="12"/>
    </row>
    <row r="9" s="1" customFormat="1" spans="2:23">
      <c r="B9" s="13"/>
      <c r="C9" s="14"/>
      <c r="D9" s="14"/>
      <c r="E9" s="14"/>
      <c r="F9" s="14"/>
      <c r="G9" s="14"/>
      <c r="H9" s="14"/>
      <c r="I9" s="14"/>
      <c r="J9" s="14"/>
      <c r="K9" s="15"/>
      <c r="L9" s="11"/>
      <c r="M9" s="11"/>
      <c r="N9" s="11"/>
      <c r="O9" s="12"/>
      <c r="P9" s="12"/>
      <c r="Q9" s="12"/>
      <c r="R9" s="12"/>
      <c r="S9" s="12"/>
      <c r="T9" s="12"/>
      <c r="U9" s="12"/>
      <c r="V9" s="12"/>
      <c r="W9" s="12"/>
    </row>
    <row r="10" s="1" customFormat="1" ht="17.25" spans="2:23">
      <c r="B10" s="16"/>
      <c r="C10" s="17"/>
      <c r="D10" s="17"/>
      <c r="E10" s="17"/>
      <c r="F10" s="17"/>
      <c r="G10" s="17"/>
      <c r="H10" s="17"/>
      <c r="I10" s="17"/>
      <c r="J10" s="17"/>
      <c r="K10" s="18"/>
      <c r="L10" s="11"/>
      <c r="M10" s="11"/>
      <c r="N10" s="11"/>
      <c r="O10" s="12"/>
      <c r="P10" s="12"/>
      <c r="Q10" s="12"/>
      <c r="R10" s="12"/>
      <c r="S10" s="12"/>
      <c r="T10" s="12"/>
      <c r="U10" s="12"/>
      <c r="V10" s="12"/>
      <c r="W10" s="12"/>
    </row>
    <row r="12" s="1" customFormat="1" spans="2:23">
      <c r="B12" s="8" t="s">
        <v>49</v>
      </c>
      <c r="C12" s="9"/>
      <c r="D12" s="9"/>
      <c r="E12" s="9"/>
      <c r="F12" s="9"/>
      <c r="G12" s="9"/>
      <c r="H12" s="9"/>
      <c r="I12" s="9"/>
      <c r="J12" s="9"/>
      <c r="K12" s="10"/>
      <c r="L12" s="7"/>
      <c r="M12" s="7"/>
      <c r="N12" s="7"/>
    </row>
    <row r="13" s="1" customFormat="1" spans="2:23">
      <c r="B13" s="13"/>
      <c r="C13" s="14"/>
      <c r="D13" s="14"/>
      <c r="E13" s="14"/>
      <c r="F13" s="14"/>
      <c r="G13" s="14"/>
      <c r="H13" s="14"/>
      <c r="I13" s="14"/>
      <c r="J13" s="14"/>
      <c r="K13" s="15"/>
      <c r="L13" s="7"/>
      <c r="M13" s="7"/>
      <c r="N13" s="7"/>
    </row>
    <row r="14" s="1" customFormat="1" spans="2:23">
      <c r="B14" s="13"/>
      <c r="C14" s="14"/>
      <c r="D14" s="14"/>
      <c r="E14" s="14"/>
      <c r="F14" s="14"/>
      <c r="G14" s="14"/>
      <c r="H14" s="14"/>
      <c r="I14" s="14"/>
      <c r="J14" s="14"/>
      <c r="K14" s="15"/>
      <c r="L14" s="7"/>
      <c r="M14" s="7"/>
      <c r="N14" s="7"/>
    </row>
    <row r="15" s="1" customFormat="1" spans="2:23">
      <c r="B15" s="13"/>
      <c r="C15" s="14"/>
      <c r="D15" s="14"/>
      <c r="E15" s="14"/>
      <c r="F15" s="14"/>
      <c r="G15" s="14"/>
      <c r="H15" s="14"/>
      <c r="I15" s="14"/>
      <c r="J15" s="14"/>
      <c r="K15" s="15"/>
      <c r="L15" s="7"/>
      <c r="M15" s="7"/>
      <c r="N15" s="7"/>
    </row>
    <row r="16" s="1" customFormat="1" spans="2:23">
      <c r="B16" s="13"/>
      <c r="C16" s="14"/>
      <c r="D16" s="14"/>
      <c r="E16" s="14"/>
      <c r="F16" s="14"/>
      <c r="G16" s="14"/>
      <c r="H16" s="14"/>
      <c r="I16" s="14"/>
      <c r="J16" s="14"/>
      <c r="K16" s="15"/>
      <c r="L16" s="7"/>
      <c r="M16" s="7"/>
      <c r="N16" s="7"/>
    </row>
    <row r="17" s="1" customFormat="1" spans="2:14">
      <c r="B17" s="13"/>
      <c r="C17" s="14"/>
      <c r="D17" s="14"/>
      <c r="E17" s="14"/>
      <c r="F17" s="14"/>
      <c r="G17" s="14"/>
      <c r="H17" s="14"/>
      <c r="I17" s="14"/>
      <c r="J17" s="14"/>
      <c r="K17" s="15"/>
      <c r="L17" s="7"/>
      <c r="M17" s="7"/>
      <c r="N17" s="7"/>
    </row>
    <row r="18" s="1" customFormat="1" spans="2:14">
      <c r="B18" s="13"/>
      <c r="C18" s="14"/>
      <c r="D18" s="14"/>
      <c r="E18" s="14"/>
      <c r="F18" s="14"/>
      <c r="G18" s="14"/>
      <c r="H18" s="14"/>
      <c r="I18" s="14"/>
      <c r="J18" s="14"/>
      <c r="K18" s="15"/>
      <c r="L18" s="7"/>
      <c r="M18" s="7"/>
      <c r="N18" s="7"/>
    </row>
    <row r="19" s="1" customFormat="1" spans="2:14">
      <c r="B19" s="13"/>
      <c r="C19" s="14"/>
      <c r="D19" s="14"/>
      <c r="E19" s="14"/>
      <c r="F19" s="14"/>
      <c r="G19" s="14"/>
      <c r="H19" s="14"/>
      <c r="I19" s="14"/>
      <c r="J19" s="14"/>
      <c r="K19" s="15"/>
      <c r="L19" s="7"/>
      <c r="M19" s="7"/>
      <c r="N19" s="7"/>
    </row>
    <row r="20" s="1" customFormat="1" ht="17.25" spans="2:14">
      <c r="B20" s="16"/>
      <c r="C20" s="17"/>
      <c r="D20" s="17"/>
      <c r="E20" s="17"/>
      <c r="F20" s="17"/>
      <c r="G20" s="17"/>
      <c r="H20" s="17"/>
      <c r="I20" s="17"/>
      <c r="J20" s="17"/>
      <c r="K20" s="18"/>
      <c r="L20" s="7"/>
      <c r="M20" s="7"/>
      <c r="N20" s="7"/>
    </row>
    <row r="21" s="1" customFormat="1" spans="2:14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7"/>
      <c r="M21" s="7"/>
      <c r="N21" s="7"/>
    </row>
    <row r="22" s="1" customFormat="1" ht="17.25" spans="2:14">
      <c r="B22" s="14" t="s">
        <v>50</v>
      </c>
      <c r="C22" s="14"/>
      <c r="D22" s="14"/>
      <c r="E22" s="14"/>
      <c r="F22" s="14"/>
      <c r="G22" s="14"/>
      <c r="H22" s="14"/>
      <c r="I22" s="14"/>
      <c r="J22" s="14"/>
      <c r="K22" s="14"/>
      <c r="L22" s="7"/>
      <c r="M22" s="7"/>
      <c r="N22" s="7"/>
    </row>
    <row r="23" s="1" customFormat="1" spans="2:14">
      <c r="B23" s="19" t="s">
        <v>51</v>
      </c>
      <c r="C23" s="20" t="s">
        <v>52</v>
      </c>
      <c r="D23" s="20"/>
      <c r="E23" s="20" t="s">
        <v>53</v>
      </c>
      <c r="F23" s="20"/>
      <c r="G23" s="20"/>
      <c r="H23" s="20"/>
      <c r="I23" s="20" t="s">
        <v>54</v>
      </c>
      <c r="J23" s="20"/>
      <c r="K23" s="21" t="s">
        <v>55</v>
      </c>
      <c r="L23" s="21"/>
      <c r="M23" s="22"/>
    </row>
    <row r="24" s="1" customFormat="1" spans="2:14">
      <c r="B24" s="23"/>
      <c r="C24" s="4"/>
      <c r="D24" s="4"/>
      <c r="E24" s="3" t="s">
        <v>56</v>
      </c>
      <c r="F24" s="3"/>
      <c r="G24" s="3" t="s">
        <v>57</v>
      </c>
      <c r="H24" s="3"/>
      <c r="I24" s="4" t="s">
        <v>28</v>
      </c>
      <c r="J24" s="4"/>
      <c r="K24" s="24" t="s">
        <v>58</v>
      </c>
      <c r="L24" s="24"/>
      <c r="M24" s="25"/>
    </row>
    <row r="25" s="1" customFormat="1" spans="2:14">
      <c r="B25" s="26" t="s">
        <v>59</v>
      </c>
      <c r="C25" s="27"/>
      <c r="D25" s="27"/>
      <c r="E25" s="4" t="s">
        <v>60</v>
      </c>
      <c r="F25" s="4"/>
      <c r="G25" s="4" t="s">
        <v>61</v>
      </c>
      <c r="H25" s="4"/>
      <c r="I25" s="28" t="s">
        <v>62</v>
      </c>
      <c r="J25" s="28"/>
      <c r="K25" s="24"/>
      <c r="L25" s="24"/>
      <c r="M25" s="25"/>
    </row>
    <row r="26" s="1" customFormat="1" spans="2:14">
      <c r="B26" s="29" t="s">
        <v>63</v>
      </c>
      <c r="C26" s="30">
        <v>135364</v>
      </c>
      <c r="D26" s="30"/>
      <c r="E26" s="31">
        <f>94800+27500</f>
        <v>122300</v>
      </c>
      <c r="F26" s="31"/>
      <c r="G26" s="31">
        <f t="shared" ref="F26:H26" si="0">12166+898</f>
        <v>13064</v>
      </c>
      <c r="H26" s="31"/>
      <c r="I26" s="32">
        <v>90</v>
      </c>
      <c r="J26" s="32"/>
      <c r="K26" s="24"/>
      <c r="L26" s="24"/>
      <c r="M26" s="25"/>
    </row>
    <row r="27" s="1" customFormat="1" spans="2:14">
      <c r="B27" s="29" t="s">
        <v>64</v>
      </c>
      <c r="C27" s="33">
        <f>SUM(E27:H27)</f>
        <v>4700</v>
      </c>
      <c r="D27" s="33"/>
      <c r="E27" s="31">
        <v>2350</v>
      </c>
      <c r="F27" s="31"/>
      <c r="G27" s="31">
        <v>2350</v>
      </c>
      <c r="H27" s="31"/>
      <c r="I27" s="32">
        <v>246</v>
      </c>
      <c r="J27" s="32"/>
      <c r="K27" s="24" t="s">
        <v>65</v>
      </c>
      <c r="L27" s="24"/>
      <c r="M27" s="25"/>
    </row>
    <row r="28" s="1" customFormat="1" spans="2:14">
      <c r="B28" s="29" t="s">
        <v>66</v>
      </c>
      <c r="C28" s="30">
        <f t="shared" ref="C28:G28" si="1">C26-C27</f>
        <v>130664</v>
      </c>
      <c r="D28" s="30"/>
      <c r="E28" s="30">
        <f t="shared" si="1"/>
        <v>119950</v>
      </c>
      <c r="F28" s="30"/>
      <c r="G28" s="30">
        <f t="shared" si="1"/>
        <v>10714</v>
      </c>
      <c r="H28" s="30"/>
      <c r="I28" s="30">
        <f>I26-I27</f>
        <v>-156</v>
      </c>
      <c r="J28" s="30"/>
      <c r="K28" s="24"/>
      <c r="L28" s="24"/>
      <c r="M28" s="25"/>
    </row>
    <row r="29" s="1" customFormat="1" spans="2:14">
      <c r="B29" s="29" t="s">
        <v>67</v>
      </c>
      <c r="C29" s="34">
        <f t="shared" ref="C29:G29" si="2">C28/C26</f>
        <v>0.965278803817854</v>
      </c>
      <c r="D29" s="34"/>
      <c r="E29" s="34">
        <f t="shared" si="2"/>
        <v>0.980784955028618</v>
      </c>
      <c r="F29" s="34"/>
      <c r="G29" s="34">
        <f t="shared" si="2"/>
        <v>0.820116350275566</v>
      </c>
      <c r="H29" s="34"/>
      <c r="I29" s="34">
        <f>I28/I26</f>
        <v>-1.73333333333333</v>
      </c>
      <c r="J29" s="34"/>
      <c r="K29" s="24"/>
      <c r="L29" s="24"/>
      <c r="M29" s="25"/>
    </row>
    <row r="30" s="1" customFormat="1" spans="2:14">
      <c r="B30" s="29" t="s">
        <v>68</v>
      </c>
      <c r="C30" s="35">
        <v>2.3</v>
      </c>
      <c r="D30" s="35"/>
      <c r="E30" s="35">
        <v>2.3</v>
      </c>
      <c r="F30" s="35"/>
      <c r="G30" s="35">
        <v>2.3</v>
      </c>
      <c r="H30" s="35"/>
      <c r="I30" s="36">
        <v>4</v>
      </c>
      <c r="J30" s="36"/>
      <c r="K30" s="24"/>
      <c r="L30" s="24"/>
      <c r="M30" s="25"/>
    </row>
    <row r="31" s="1" customFormat="1" spans="2:14">
      <c r="B31" s="29" t="s">
        <v>69</v>
      </c>
      <c r="C31" s="33">
        <f>SUM(E31:H31)</f>
        <v>31334</v>
      </c>
      <c r="D31" s="33"/>
      <c r="E31" s="31">
        <v>24802</v>
      </c>
      <c r="F31" s="31"/>
      <c r="G31" s="31">
        <v>6532</v>
      </c>
      <c r="H31" s="31"/>
      <c r="I31" s="32">
        <v>20</v>
      </c>
      <c r="J31" s="32"/>
      <c r="K31" s="24"/>
      <c r="L31" s="24"/>
      <c r="M31" s="25"/>
    </row>
    <row r="32" s="1" customFormat="1" spans="2:14">
      <c r="B32" s="29" t="s">
        <v>70</v>
      </c>
      <c r="C32" s="24"/>
      <c r="D32" s="24"/>
      <c r="E32" s="37" t="s">
        <v>71</v>
      </c>
      <c r="F32" s="37"/>
      <c r="G32" s="37" t="s">
        <v>72</v>
      </c>
      <c r="H32" s="37"/>
      <c r="I32" s="37" t="s">
        <v>73</v>
      </c>
      <c r="J32" s="37"/>
      <c r="K32" s="24" t="s">
        <v>74</v>
      </c>
      <c r="L32" s="24"/>
      <c r="M32" s="25"/>
    </row>
    <row r="33" s="1" customFormat="1" spans="2:27">
      <c r="B33" s="29" t="s">
        <v>75</v>
      </c>
      <c r="C33" s="33">
        <v>212973</v>
      </c>
      <c r="D33" s="33"/>
      <c r="E33" s="31">
        <v>200141</v>
      </c>
      <c r="F33" s="31"/>
      <c r="G33" s="31">
        <v>200141</v>
      </c>
      <c r="H33" s="31"/>
      <c r="I33" s="38">
        <v>12832</v>
      </c>
      <c r="J33" s="38"/>
      <c r="K33" s="24"/>
      <c r="L33" s="24"/>
      <c r="M33" s="25"/>
    </row>
    <row r="34" s="1" customFormat="1" spans="2:27">
      <c r="B34" s="29" t="s">
        <v>76</v>
      </c>
      <c r="C34" s="33">
        <v>212973</v>
      </c>
      <c r="D34" s="33"/>
      <c r="E34" s="31">
        <v>200141</v>
      </c>
      <c r="F34" s="31"/>
      <c r="G34" s="31">
        <v>200141</v>
      </c>
      <c r="H34" s="31"/>
      <c r="I34" s="38">
        <v>12832</v>
      </c>
      <c r="J34" s="38"/>
      <c r="K34" s="24" t="s">
        <v>77</v>
      </c>
      <c r="L34" s="24"/>
      <c r="M34" s="25"/>
    </row>
    <row r="35" s="1" customFormat="1" spans="2:27">
      <c r="B35" s="29" t="s">
        <v>78</v>
      </c>
      <c r="C35" s="39"/>
      <c r="D35" s="39"/>
      <c r="E35" s="31">
        <v>100000</v>
      </c>
      <c r="F35" s="31"/>
      <c r="G35" s="31">
        <v>100000</v>
      </c>
      <c r="H35" s="31"/>
      <c r="I35" s="38">
        <v>200</v>
      </c>
      <c r="J35" s="38"/>
      <c r="K35" s="24" t="s">
        <v>79</v>
      </c>
      <c r="L35" s="24"/>
      <c r="M35" s="25"/>
    </row>
    <row r="36" s="1" customFormat="1" spans="2:27">
      <c r="B36" s="29" t="s">
        <v>80</v>
      </c>
      <c r="C36" s="39">
        <v>0.04</v>
      </c>
      <c r="D36" s="39"/>
      <c r="E36" s="39">
        <v>0.04</v>
      </c>
      <c r="F36" s="39"/>
      <c r="G36" s="39">
        <v>0.04</v>
      </c>
      <c r="H36" s="39"/>
      <c r="I36" s="32">
        <v>0.04</v>
      </c>
      <c r="J36" s="32"/>
      <c r="K36" s="24"/>
      <c r="L36" s="24"/>
      <c r="M36" s="25"/>
    </row>
    <row r="37" s="1" customFormat="1" ht="17.25" spans="2:27">
      <c r="B37" s="40" t="s">
        <v>81</v>
      </c>
      <c r="C37" s="41">
        <f t="shared" ref="C37:G37" si="3">C26/C31</f>
        <v>4.32003574392034</v>
      </c>
      <c r="D37" s="41"/>
      <c r="E37" s="41">
        <f>E26/E31</f>
        <v>4.93105394726232</v>
      </c>
      <c r="F37" s="41"/>
      <c r="G37" s="41">
        <f t="shared" si="3"/>
        <v>2</v>
      </c>
      <c r="H37" s="41"/>
      <c r="I37" s="41">
        <f>I26/I31</f>
        <v>4.5</v>
      </c>
      <c r="J37" s="41"/>
      <c r="K37" s="42"/>
      <c r="L37" s="42"/>
      <c r="M37" s="43"/>
    </row>
    <row r="38" s="1" customFormat="1" spans="2:27">
      <c r="B38" s="14"/>
      <c r="C38" s="14"/>
      <c r="D38" s="14"/>
      <c r="E38" s="14"/>
      <c r="F38" s="46"/>
      <c r="G38" s="14"/>
      <c r="H38" s="14"/>
      <c r="I38" s="46"/>
      <c r="J38" s="14"/>
      <c r="K38" s="14"/>
      <c r="L38" s="7"/>
      <c r="M38" s="7"/>
      <c r="N38" s="7"/>
    </row>
    <row r="39" s="1" customFormat="1" spans="2:27">
      <c r="B39" s="48" t="s">
        <v>82</v>
      </c>
      <c r="C39" s="48"/>
      <c r="D39" s="48"/>
      <c r="E39" s="48"/>
      <c r="F39" s="48"/>
      <c r="G39" s="48"/>
      <c r="H39" s="48"/>
      <c r="I39" s="48"/>
      <c r="J39" s="48"/>
      <c r="K39" s="48"/>
      <c r="L39" s="7"/>
      <c r="M39" s="7"/>
      <c r="N39" s="7"/>
    </row>
    <row r="40" s="1" customFormat="1" spans="2:27"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7"/>
      <c r="M40" s="7"/>
      <c r="N40" s="7"/>
    </row>
    <row r="41" s="1" customFormat="1" ht="17.25" spans="2:27"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7"/>
      <c r="M41" s="7"/>
      <c r="N41" s="7"/>
    </row>
    <row r="42" s="1" customFormat="1" spans="2:27">
      <c r="B42" s="120" t="s">
        <v>51</v>
      </c>
      <c r="C42" s="50" t="s">
        <v>83</v>
      </c>
      <c r="D42" s="50"/>
      <c r="E42" s="50"/>
      <c r="F42" s="50"/>
      <c r="G42" s="50"/>
      <c r="H42" s="50"/>
      <c r="I42" s="50"/>
      <c r="J42" s="50"/>
      <c r="K42" s="51"/>
      <c r="L42" s="7"/>
      <c r="M42" s="52" t="s">
        <v>51</v>
      </c>
      <c r="N42" s="53" t="s">
        <v>84</v>
      </c>
      <c r="O42" s="53"/>
      <c r="P42" s="53"/>
      <c r="Q42" s="53"/>
      <c r="R42" s="53"/>
      <c r="S42" s="53"/>
      <c r="T42" s="53"/>
      <c r="U42" s="53"/>
      <c r="V42" s="50" t="s">
        <v>85</v>
      </c>
      <c r="W42" s="50"/>
      <c r="X42" s="50"/>
      <c r="Y42" s="50"/>
      <c r="Z42" s="50"/>
      <c r="AA42" s="51"/>
    </row>
    <row r="43" s="1" customFormat="1" spans="2:27">
      <c r="B43" s="121"/>
      <c r="C43" s="110" t="s">
        <v>86</v>
      </c>
      <c r="D43" s="110" t="s">
        <v>87</v>
      </c>
      <c r="E43" s="110" t="s">
        <v>88</v>
      </c>
      <c r="F43" s="110" t="s">
        <v>89</v>
      </c>
      <c r="G43" s="110" t="s">
        <v>90</v>
      </c>
      <c r="H43" s="110" t="s">
        <v>91</v>
      </c>
      <c r="I43" s="110" t="s">
        <v>92</v>
      </c>
      <c r="J43" s="110" t="s">
        <v>93</v>
      </c>
      <c r="K43" s="111" t="s">
        <v>52</v>
      </c>
      <c r="L43" s="7"/>
      <c r="M43" s="56"/>
      <c r="N43" s="57" t="s">
        <v>94</v>
      </c>
      <c r="O43" s="57" t="s">
        <v>95</v>
      </c>
      <c r="P43" s="57" t="s">
        <v>96</v>
      </c>
      <c r="Q43" s="4" t="s">
        <v>97</v>
      </c>
      <c r="R43" s="4"/>
      <c r="S43" s="58" t="s">
        <v>67</v>
      </c>
      <c r="T43" s="58" t="s">
        <v>98</v>
      </c>
      <c r="U43" s="58"/>
      <c r="V43" s="3"/>
      <c r="W43" s="3"/>
      <c r="X43" s="3"/>
      <c r="Y43" s="3"/>
      <c r="Z43" s="3"/>
      <c r="AA43" s="55"/>
    </row>
    <row r="44" s="1" customFormat="1" spans="2:27">
      <c r="B44" s="115"/>
      <c r="C44" s="112"/>
      <c r="D44" s="112"/>
      <c r="E44" s="112"/>
      <c r="F44" s="112"/>
      <c r="G44" s="112"/>
      <c r="H44" s="112"/>
      <c r="I44" s="112"/>
      <c r="J44" s="112"/>
      <c r="K44" s="113"/>
      <c r="L44" s="7"/>
      <c r="M44" s="56"/>
      <c r="N44" s="57"/>
      <c r="O44" s="57"/>
      <c r="P44" s="57"/>
      <c r="Q44" s="4" t="s">
        <v>99</v>
      </c>
      <c r="R44" s="4" t="s">
        <v>100</v>
      </c>
      <c r="S44" s="58"/>
      <c r="T44" s="4" t="s">
        <v>99</v>
      </c>
      <c r="U44" s="4" t="s">
        <v>100</v>
      </c>
      <c r="V44" s="3"/>
      <c r="W44" s="3"/>
      <c r="X44" s="3"/>
      <c r="Y44" s="3"/>
      <c r="Z44" s="3"/>
      <c r="AA44" s="55"/>
    </row>
    <row r="45" s="1" customFormat="1" spans="2:27">
      <c r="B45" s="59" t="s">
        <v>101</v>
      </c>
      <c r="C45" s="60"/>
      <c r="D45" s="60"/>
      <c r="E45" s="60"/>
      <c r="F45" s="60"/>
      <c r="G45" s="60"/>
      <c r="H45" s="60"/>
      <c r="I45" s="60"/>
      <c r="J45" s="60"/>
      <c r="K45" s="61"/>
      <c r="L45" s="7"/>
      <c r="M45" s="62" t="s">
        <v>102</v>
      </c>
      <c r="N45" s="63" cm="1">
        <f t="array" ref="N45">SUMPRODUCT(C46:J46,C58:J58)*30/10000</f>
        <v>4.7475</v>
      </c>
      <c r="O45" s="63" cm="1">
        <f t="array" ref="O45">SUMPRODUCT(C52:J52,C46:J46)*30/10000</f>
        <v>3.13398</v>
      </c>
      <c r="P45" s="63">
        <f>N45-O45</f>
        <v>1.61352</v>
      </c>
      <c r="Q45" s="63">
        <f>P45*0.7</f>
        <v>1.129464</v>
      </c>
      <c r="R45" s="63">
        <f>P45*0.5</f>
        <v>0.80676</v>
      </c>
      <c r="S45" s="64">
        <f>P45/N45</f>
        <v>0.339867298578199</v>
      </c>
      <c r="T45" s="64">
        <f>K69</f>
        <v>0.237907109004739</v>
      </c>
      <c r="U45" s="64">
        <f>K72</f>
        <v>0.169933649289099</v>
      </c>
      <c r="V45" s="65" t="s">
        <v>103</v>
      </c>
      <c r="W45" s="66"/>
      <c r="X45" s="66"/>
      <c r="Y45" s="66"/>
      <c r="Z45" s="66"/>
      <c r="AA45" s="67"/>
    </row>
    <row r="46" s="1" customFormat="1" spans="2:27">
      <c r="B46" s="54" t="s">
        <v>0</v>
      </c>
      <c r="C46" s="68">
        <f t="shared" ref="C46:J46" si="4">ROUND(C47*$K$46,0)</f>
        <v>64000</v>
      </c>
      <c r="D46" s="68">
        <f t="shared" si="4"/>
        <v>4000</v>
      </c>
      <c r="E46" s="68">
        <f t="shared" si="4"/>
        <v>2000</v>
      </c>
      <c r="F46" s="68">
        <f t="shared" si="4"/>
        <v>2000</v>
      </c>
      <c r="G46" s="68">
        <f t="shared" si="4"/>
        <v>2000</v>
      </c>
      <c r="H46" s="68">
        <f t="shared" si="4"/>
        <v>2000</v>
      </c>
      <c r="I46" s="68">
        <f t="shared" si="4"/>
        <v>5000</v>
      </c>
      <c r="J46" s="68">
        <f t="shared" si="4"/>
        <v>19000</v>
      </c>
      <c r="K46" s="69">
        <v>100000</v>
      </c>
      <c r="L46" s="7"/>
      <c r="M46" s="122" t="s">
        <v>104</v>
      </c>
      <c r="N46" s="123"/>
      <c r="O46" s="123"/>
      <c r="P46" s="123"/>
      <c r="Q46" s="123"/>
      <c r="R46" s="123"/>
      <c r="S46" s="123"/>
      <c r="T46" s="123"/>
      <c r="U46" s="123"/>
      <c r="V46" s="66"/>
      <c r="W46" s="66"/>
      <c r="X46" s="66"/>
      <c r="Y46" s="66"/>
      <c r="Z46" s="66"/>
      <c r="AA46" s="67"/>
    </row>
    <row r="47" s="1" customFormat="1" spans="2:27">
      <c r="B47" s="54" t="s">
        <v>16</v>
      </c>
      <c r="C47" s="72">
        <v>0.64</v>
      </c>
      <c r="D47" s="72">
        <v>0.04</v>
      </c>
      <c r="E47" s="72">
        <v>0.02</v>
      </c>
      <c r="F47" s="72">
        <v>0.02</v>
      </c>
      <c r="G47" s="72">
        <v>0.02</v>
      </c>
      <c r="H47" s="72">
        <v>0.02</v>
      </c>
      <c r="I47" s="72">
        <v>0.05</v>
      </c>
      <c r="J47" s="72">
        <v>0.19</v>
      </c>
      <c r="K47" s="73">
        <f>SUM(C47:J47)</f>
        <v>1</v>
      </c>
      <c r="L47" s="7"/>
      <c r="M47" s="56" t="s">
        <v>105</v>
      </c>
      <c r="N47" s="57" t="s">
        <v>106</v>
      </c>
      <c r="O47" s="57" t="s">
        <v>107</v>
      </c>
      <c r="P47" s="57" t="s">
        <v>108</v>
      </c>
      <c r="Q47" s="4" t="s">
        <v>109</v>
      </c>
      <c r="R47" s="4"/>
      <c r="S47" s="58" t="s">
        <v>110</v>
      </c>
      <c r="T47" s="58" t="s">
        <v>111</v>
      </c>
      <c r="U47" s="58"/>
      <c r="V47" s="66"/>
      <c r="W47" s="66"/>
      <c r="X47" s="66"/>
      <c r="Y47" s="66"/>
      <c r="Z47" s="66"/>
      <c r="AA47" s="67"/>
    </row>
    <row r="48" s="1" customFormat="1" spans="2:27">
      <c r="B48" s="59" t="s">
        <v>112</v>
      </c>
      <c r="C48" s="60"/>
      <c r="D48" s="60"/>
      <c r="E48" s="60"/>
      <c r="F48" s="60"/>
      <c r="G48" s="60"/>
      <c r="H48" s="60"/>
      <c r="I48" s="60"/>
      <c r="J48" s="60"/>
      <c r="K48" s="61"/>
      <c r="L48" s="7"/>
      <c r="M48" s="56"/>
      <c r="N48" s="57"/>
      <c r="O48" s="57"/>
      <c r="P48" s="57"/>
      <c r="Q48" s="4" t="s">
        <v>99</v>
      </c>
      <c r="R48" s="4" t="s">
        <v>100</v>
      </c>
      <c r="S48" s="58"/>
      <c r="T48" s="4" t="s">
        <v>99</v>
      </c>
      <c r="U48" s="4" t="s">
        <v>100</v>
      </c>
      <c r="V48" s="66"/>
      <c r="W48" s="66"/>
      <c r="X48" s="66"/>
      <c r="Y48" s="66"/>
      <c r="Z48" s="66"/>
      <c r="AA48" s="67"/>
    </row>
    <row r="49" s="1" customFormat="1" spans="2:27">
      <c r="B49" s="54" t="s">
        <v>113</v>
      </c>
      <c r="C49" s="80">
        <v>1</v>
      </c>
      <c r="D49" s="80">
        <v>5</v>
      </c>
      <c r="E49" s="80">
        <v>10</v>
      </c>
      <c r="F49" s="80">
        <v>15</v>
      </c>
      <c r="G49" s="80">
        <v>20</v>
      </c>
      <c r="H49" s="80">
        <v>25</v>
      </c>
      <c r="I49" s="80">
        <v>30</v>
      </c>
      <c r="J49" s="80">
        <v>60</v>
      </c>
      <c r="K49" s="55"/>
      <c r="L49" s="7"/>
      <c r="M49" s="98" t="s">
        <v>114</v>
      </c>
      <c r="N49" s="97">
        <v>0</v>
      </c>
      <c r="O49" s="97" t="str">
        <f>"+/-"&amp;ROUND(O45*10%,1)</f>
        <v>+/-0.3</v>
      </c>
      <c r="P49" s="97" t="str">
        <f>"-/+"&amp;ROUND(O45*10%,1)</f>
        <v>-/+0.3</v>
      </c>
      <c r="Q49" s="97" t="str">
        <f>"-/+"&amp;ROUND(O45*0.1*0.7,1)</f>
        <v>-/+0.2</v>
      </c>
      <c r="R49" s="97" t="str">
        <f>"-/+"&amp;ROUND(O45*0.1*0.5,1)</f>
        <v>-/+0.2</v>
      </c>
      <c r="S49" s="85" t="str">
        <f>"-/+"&amp;ROUND((N45-O45*0.9)/N45-S45,3)*100&amp;"%"</f>
        <v>-/+6.6%</v>
      </c>
      <c r="T49" s="85" t="str">
        <f>"-/+"&amp;ROUND((N45-O45*0.9)*0.7/N45-T45,3)*100&amp;"%"</f>
        <v>-/+4.6%</v>
      </c>
      <c r="U49" s="85" t="str">
        <f>"-/+"&amp;ROUND((N45-O45*0.9)*0.5/N45-U45,3)*100&amp;"%"</f>
        <v>-/+3.3%</v>
      </c>
      <c r="V49" s="66"/>
      <c r="W49" s="66"/>
      <c r="X49" s="66"/>
      <c r="Y49" s="66"/>
      <c r="Z49" s="66"/>
      <c r="AA49" s="67"/>
    </row>
    <row r="50" s="1" customFormat="1" spans="2:27">
      <c r="B50" s="54" t="s">
        <v>68</v>
      </c>
      <c r="C50" s="84">
        <v>2.3</v>
      </c>
      <c r="D50" s="84">
        <v>2.3</v>
      </c>
      <c r="E50" s="84">
        <v>2.3</v>
      </c>
      <c r="F50" s="84">
        <v>2.3</v>
      </c>
      <c r="G50" s="84">
        <v>2.3</v>
      </c>
      <c r="H50" s="84">
        <v>2.3</v>
      </c>
      <c r="I50" s="84">
        <v>2.3</v>
      </c>
      <c r="J50" s="84">
        <v>2.3</v>
      </c>
      <c r="K50" s="55"/>
      <c r="L50" s="7"/>
      <c r="M50" s="70" t="s">
        <v>115</v>
      </c>
      <c r="N50" s="97" t="str">
        <f>"+/-"&amp;ROUND(N45*10%,1)</f>
        <v>+/-0.5</v>
      </c>
      <c r="O50" s="97">
        <v>0</v>
      </c>
      <c r="P50" s="97" t="str">
        <f>"+/-"&amp;ROUND(N45*10%,1)</f>
        <v>+/-0.5</v>
      </c>
      <c r="Q50" s="97" t="str">
        <f>"+/-"&amp;ROUND(N45*10%*0.7,1)</f>
        <v>+/-0.3</v>
      </c>
      <c r="R50" s="97" t="str">
        <f>"+/-"&amp;ROUND(N45*10%*0.5,1)</f>
        <v>+/-0.2</v>
      </c>
      <c r="S50" s="85" t="str">
        <f>"+"&amp;ROUND((N45*1.1-O45)/(N45*1.1)-S45,3)*100&amp;"%/"&amp;ROUND((N45*0.9-O45)/(N45*0.9)-S45,3)*100&amp;"%"</f>
        <v>+6%/-7.3%</v>
      </c>
      <c r="T50" s="85" t="str">
        <f>"+"&amp;ROUND((N45*1.1-O45)*0.7/(N45*1.1)-T45,3)*100&amp;"%/"&amp;ROUND((N45*0.9-O45)*0.7/(N45*0.9)-T45,3)*100&amp;"%"</f>
        <v>+4.2%/-5.1%</v>
      </c>
      <c r="U50" s="85" t="str">
        <f>"+"&amp;ROUND((N45*1.1-O45)*0.5/(N45*1.1)-U45,3)*100&amp;"%/"&amp;ROUND((N45*0.9-O45)*0.5/(N45*0.9)-U45,3)*100&amp;"%"</f>
        <v>+3%/-3.7%</v>
      </c>
      <c r="V50" s="66"/>
      <c r="W50" s="66"/>
      <c r="X50" s="66"/>
      <c r="Y50" s="66"/>
      <c r="Z50" s="66"/>
      <c r="AA50" s="67"/>
    </row>
    <row r="51" s="1" customFormat="1" spans="2:27">
      <c r="B51" s="54" t="s">
        <v>80</v>
      </c>
      <c r="C51" s="84">
        <v>0.04</v>
      </c>
      <c r="D51" s="84">
        <v>0.04</v>
      </c>
      <c r="E51" s="84">
        <v>0.04</v>
      </c>
      <c r="F51" s="84">
        <v>0.04</v>
      </c>
      <c r="G51" s="84">
        <v>0.04</v>
      </c>
      <c r="H51" s="84">
        <v>0.04</v>
      </c>
      <c r="I51" s="84">
        <v>0.04</v>
      </c>
      <c r="J51" s="84">
        <v>0.04</v>
      </c>
      <c r="K51" s="55"/>
      <c r="L51" s="7"/>
      <c r="M51" s="70" t="s">
        <v>116</v>
      </c>
      <c r="N51" s="63">
        <f>200/N45*10/12</f>
        <v>35.106196243637</v>
      </c>
      <c r="O51" s="63"/>
      <c r="P51" s="63"/>
      <c r="Q51" s="63"/>
      <c r="R51" s="63"/>
      <c r="S51" s="71"/>
      <c r="T51" s="124"/>
      <c r="U51" s="124"/>
      <c r="V51" s="66"/>
      <c r="W51" s="66"/>
      <c r="X51" s="66"/>
      <c r="Y51" s="66"/>
      <c r="Z51" s="66"/>
      <c r="AA51" s="67"/>
    </row>
    <row r="52" s="1" customFormat="1" spans="2:27">
      <c r="B52" s="54" t="s">
        <v>117</v>
      </c>
      <c r="C52" s="86">
        <f>C49*C50*C51*60/1000/8</f>
        <v>0.00069</v>
      </c>
      <c r="D52" s="86">
        <f t="shared" ref="C52:J52" si="5">D49*D50*D51*60/1000/8</f>
        <v>0.00345</v>
      </c>
      <c r="E52" s="86">
        <f t="shared" si="5"/>
        <v>0.0069</v>
      </c>
      <c r="F52" s="86">
        <f t="shared" si="5"/>
        <v>0.01035</v>
      </c>
      <c r="G52" s="86">
        <f t="shared" si="5"/>
        <v>0.0138</v>
      </c>
      <c r="H52" s="86">
        <f t="shared" si="5"/>
        <v>0.01725</v>
      </c>
      <c r="I52" s="86">
        <f t="shared" si="5"/>
        <v>0.0207</v>
      </c>
      <c r="J52" s="86">
        <f t="shared" si="5"/>
        <v>0.0414</v>
      </c>
      <c r="K52" s="87">
        <f>SUM(C52:J52)</f>
        <v>0.11454</v>
      </c>
      <c r="L52" s="7"/>
      <c r="M52" s="54" t="s">
        <v>51</v>
      </c>
      <c r="N52" s="57" t="s">
        <v>94</v>
      </c>
      <c r="O52" s="57" t="s">
        <v>95</v>
      </c>
      <c r="P52" s="57" t="s">
        <v>96</v>
      </c>
      <c r="Q52" s="4" t="s">
        <v>97</v>
      </c>
      <c r="R52" s="4"/>
      <c r="S52" s="58" t="s">
        <v>67</v>
      </c>
      <c r="T52" s="58" t="s">
        <v>98</v>
      </c>
      <c r="U52" s="58"/>
      <c r="V52" s="66"/>
      <c r="W52" s="66"/>
      <c r="X52" s="66"/>
      <c r="Y52" s="66"/>
      <c r="Z52" s="66"/>
      <c r="AA52" s="67"/>
    </row>
    <row r="53" s="1" customFormat="1" spans="2:27">
      <c r="B53" s="88" t="s">
        <v>33</v>
      </c>
      <c r="C53" s="86">
        <f>C52/C56*1000</f>
        <v>0.69</v>
      </c>
      <c r="D53" s="86">
        <f t="shared" ref="C53:J53" si="6">D52/D56*1000</f>
        <v>3.45</v>
      </c>
      <c r="E53" s="86">
        <f t="shared" si="6"/>
        <v>6.9</v>
      </c>
      <c r="F53" s="86">
        <f t="shared" si="6"/>
        <v>5.175</v>
      </c>
      <c r="G53" s="86">
        <f t="shared" si="6"/>
        <v>6.9</v>
      </c>
      <c r="H53" s="86">
        <f t="shared" si="6"/>
        <v>8.625</v>
      </c>
      <c r="I53" s="86">
        <f t="shared" si="6"/>
        <v>6.9</v>
      </c>
      <c r="J53" s="86">
        <f t="shared" si="6"/>
        <v>6.9</v>
      </c>
      <c r="K53" s="89" cm="1">
        <f t="array" ref="K53">SUMPRODUCT(C52:J52,C46:J46)/SUMPRODUCT(C56:J56,C46:J46)*1000</f>
        <v>4.95099526066351</v>
      </c>
      <c r="L53" s="7"/>
      <c r="M53" s="54"/>
      <c r="N53" s="57"/>
      <c r="O53" s="57"/>
      <c r="P53" s="57"/>
      <c r="Q53" s="4" t="s">
        <v>99</v>
      </c>
      <c r="R53" s="4" t="s">
        <v>100</v>
      </c>
      <c r="S53" s="58"/>
      <c r="T53" s="4" t="s">
        <v>99</v>
      </c>
      <c r="U53" s="4" t="s">
        <v>100</v>
      </c>
      <c r="V53" s="66"/>
      <c r="W53" s="66"/>
      <c r="X53" s="66"/>
      <c r="Y53" s="66"/>
      <c r="Z53" s="66"/>
      <c r="AA53" s="67"/>
    </row>
    <row r="54" s="1" customFormat="1" spans="2:27">
      <c r="B54" s="59" t="s">
        <v>118</v>
      </c>
      <c r="C54" s="60"/>
      <c r="D54" s="60"/>
      <c r="E54" s="60"/>
      <c r="F54" s="60"/>
      <c r="G54" s="60"/>
      <c r="H54" s="60"/>
      <c r="I54" s="60"/>
      <c r="J54" s="60"/>
      <c r="K54" s="61"/>
      <c r="L54" s="7"/>
      <c r="M54" s="81" t="s">
        <v>119</v>
      </c>
      <c r="N54" s="82" cm="1">
        <f t="array" ref="N54">SUMPRODUCT(C46:J46,C61:J61)*30/10000</f>
        <v>4.1145</v>
      </c>
      <c r="O54" s="82" cm="1">
        <f t="array" ref="O54">SUMPRODUCT(C52:J52,C46:J46)*30/10000</f>
        <v>3.13398</v>
      </c>
      <c r="P54" s="83">
        <f>N54-O54</f>
        <v>0.980519999999999</v>
      </c>
      <c r="Q54" s="63">
        <f>P54*0.7</f>
        <v>0.686364</v>
      </c>
      <c r="R54" s="63">
        <f>P54*0.5</f>
        <v>0.49026</v>
      </c>
      <c r="S54" s="94">
        <f>P54/N54</f>
        <v>0.238308421436383</v>
      </c>
      <c r="T54" s="64">
        <f>K70</f>
        <v>0.166815895005468</v>
      </c>
      <c r="U54" s="64">
        <f>K73</f>
        <v>0.119154210718192</v>
      </c>
      <c r="V54" s="66"/>
      <c r="W54" s="66"/>
      <c r="X54" s="66"/>
      <c r="Y54" s="66"/>
      <c r="Z54" s="66"/>
      <c r="AA54" s="67"/>
    </row>
    <row r="55" s="1" customFormat="1" spans="2:27">
      <c r="B55" s="59" t="s">
        <v>120</v>
      </c>
      <c r="C55" s="60"/>
      <c r="D55" s="60"/>
      <c r="E55" s="60"/>
      <c r="F55" s="60"/>
      <c r="G55" s="60"/>
      <c r="H55" s="60"/>
      <c r="I55" s="60"/>
      <c r="J55" s="60"/>
      <c r="K55" s="61"/>
      <c r="L55" s="7"/>
      <c r="M55" s="122" t="s">
        <v>104</v>
      </c>
      <c r="N55" s="123"/>
      <c r="O55" s="123"/>
      <c r="P55" s="123"/>
      <c r="Q55" s="123"/>
      <c r="R55" s="123"/>
      <c r="S55" s="123"/>
      <c r="T55" s="123"/>
      <c r="U55" s="123"/>
      <c r="V55" s="66"/>
      <c r="W55" s="66"/>
      <c r="X55" s="66"/>
      <c r="Y55" s="66"/>
      <c r="Z55" s="66"/>
      <c r="AA55" s="67"/>
    </row>
    <row r="56" s="1" customFormat="1" spans="2:27">
      <c r="B56" s="54" t="s">
        <v>20</v>
      </c>
      <c r="C56" s="84">
        <f>MIN(1+INT(C49/5),8)</f>
        <v>1</v>
      </c>
      <c r="D56" s="84">
        <f t="shared" ref="D56:I56" si="7">1+INT(D49/15)</f>
        <v>1</v>
      </c>
      <c r="E56" s="84">
        <f t="shared" si="7"/>
        <v>1</v>
      </c>
      <c r="F56" s="84">
        <f t="shared" si="7"/>
        <v>2</v>
      </c>
      <c r="G56" s="84">
        <f t="shared" si="7"/>
        <v>2</v>
      </c>
      <c r="H56" s="84">
        <f t="shared" si="7"/>
        <v>2</v>
      </c>
      <c r="I56" s="84">
        <f t="shared" si="7"/>
        <v>3</v>
      </c>
      <c r="J56" s="84">
        <f>1+INT(30/15)+INT((J49-30)/10)</f>
        <v>6</v>
      </c>
      <c r="K56" s="55"/>
      <c r="L56" s="7"/>
      <c r="M56" s="56" t="s">
        <v>105</v>
      </c>
      <c r="N56" s="57" t="s">
        <v>106</v>
      </c>
      <c r="O56" s="57" t="s">
        <v>107</v>
      </c>
      <c r="P56" s="57" t="s">
        <v>108</v>
      </c>
      <c r="Q56" s="4" t="s">
        <v>109</v>
      </c>
      <c r="R56" s="4"/>
      <c r="S56" s="58" t="s">
        <v>110</v>
      </c>
      <c r="T56" s="58" t="s">
        <v>111</v>
      </c>
      <c r="U56" s="58"/>
      <c r="V56" s="66"/>
      <c r="W56" s="66"/>
      <c r="X56" s="66"/>
      <c r="Y56" s="66"/>
      <c r="Z56" s="66"/>
      <c r="AA56" s="67"/>
    </row>
    <row r="57" s="1" customFormat="1" spans="2:27">
      <c r="B57" s="114" t="s">
        <v>102</v>
      </c>
      <c r="C57" s="96">
        <f t="shared" ref="C57:J57" si="8">10*0.5+5*0.5</f>
        <v>7.5</v>
      </c>
      <c r="D57" s="96">
        <f t="shared" si="8"/>
        <v>7.5</v>
      </c>
      <c r="E57" s="96">
        <f t="shared" si="8"/>
        <v>7.5</v>
      </c>
      <c r="F57" s="96">
        <f t="shared" si="8"/>
        <v>7.5</v>
      </c>
      <c r="G57" s="96">
        <f t="shared" si="8"/>
        <v>7.5</v>
      </c>
      <c r="H57" s="96">
        <f t="shared" si="8"/>
        <v>7.5</v>
      </c>
      <c r="I57" s="96">
        <f t="shared" si="8"/>
        <v>7.5</v>
      </c>
      <c r="J57" s="96">
        <f t="shared" si="8"/>
        <v>7.5</v>
      </c>
      <c r="K57" s="87"/>
      <c r="L57" s="7"/>
      <c r="M57" s="56"/>
      <c r="N57" s="57"/>
      <c r="O57" s="57"/>
      <c r="P57" s="57"/>
      <c r="Q57" s="4" t="s">
        <v>99</v>
      </c>
      <c r="R57" s="4" t="s">
        <v>100</v>
      </c>
      <c r="S57" s="58"/>
      <c r="T57" s="4" t="s">
        <v>99</v>
      </c>
      <c r="U57" s="4" t="s">
        <v>100</v>
      </c>
      <c r="V57" s="66"/>
      <c r="W57" s="66"/>
      <c r="X57" s="66"/>
      <c r="Y57" s="66"/>
      <c r="Z57" s="66"/>
      <c r="AA57" s="67"/>
    </row>
    <row r="58" s="1" customFormat="1" spans="2:27">
      <c r="B58" s="54" t="s">
        <v>121</v>
      </c>
      <c r="C58" s="86">
        <f>C57*C56/1000</f>
        <v>0.0075</v>
      </c>
      <c r="D58" s="86">
        <f>D57*D56/1000</f>
        <v>0.0075</v>
      </c>
      <c r="E58" s="86">
        <f>E57*E56/1000</f>
        <v>0.0075</v>
      </c>
      <c r="F58" s="86">
        <f t="shared" ref="C58:J58" si="9">F57*F56/1000</f>
        <v>0.015</v>
      </c>
      <c r="G58" s="86">
        <f t="shared" si="9"/>
        <v>0.015</v>
      </c>
      <c r="H58" s="86">
        <f t="shared" si="9"/>
        <v>0.015</v>
      </c>
      <c r="I58" s="86">
        <f t="shared" si="9"/>
        <v>0.0225</v>
      </c>
      <c r="J58" s="86">
        <f t="shared" si="9"/>
        <v>0.045</v>
      </c>
      <c r="K58" s="87">
        <f>SUM(C58:J58)</f>
        <v>0.135</v>
      </c>
      <c r="L58" s="7"/>
      <c r="M58" s="98" t="s">
        <v>114</v>
      </c>
      <c r="N58" s="97">
        <v>0</v>
      </c>
      <c r="O58" s="97" t="str">
        <f>"+/-"&amp;ROUND(O54*10%,1)</f>
        <v>+/-0.3</v>
      </c>
      <c r="P58" s="97" t="str">
        <f>"-/+"&amp;ROUND(O54*10%,1)</f>
        <v>-/+0.3</v>
      </c>
      <c r="Q58" s="97" t="str">
        <f>"-/+"&amp;ROUND(O54*0.1*0.7,1)</f>
        <v>-/+0.2</v>
      </c>
      <c r="R58" s="97" t="str">
        <f>"-/+"&amp;ROUND(O54*0.1*0.5,1)</f>
        <v>-/+0.2</v>
      </c>
      <c r="S58" s="85" t="str">
        <f>"-/+"&amp;ROUND((N54-O54*0.9)/N54-S54,3)*100&amp;"%"</f>
        <v>-/+7.6%</v>
      </c>
      <c r="T58" s="85" t="str">
        <f>"-/+"&amp;ROUND((N54-O54*0.9)*0.7/N54-T54,3)*100&amp;"%"</f>
        <v>-/+5.3%</v>
      </c>
      <c r="U58" s="85" t="str">
        <f>"-/+"&amp;ROUND((N54-O54*0.9)*0.5/N54-U54,3)*100&amp;"%"</f>
        <v>-/+3.8%</v>
      </c>
      <c r="V58" s="66"/>
      <c r="W58" s="66"/>
      <c r="X58" s="66"/>
      <c r="Y58" s="66"/>
      <c r="Z58" s="66"/>
      <c r="AA58" s="67"/>
    </row>
    <row r="59" s="1" customFormat="1" spans="2:27">
      <c r="B59" s="115" t="s">
        <v>67</v>
      </c>
      <c r="C59" s="116">
        <f>(C58-C52)/C58</f>
        <v>0.908</v>
      </c>
      <c r="D59" s="116">
        <f t="shared" ref="C59:J59" si="10">(D58-D52)/D58</f>
        <v>0.54</v>
      </c>
      <c r="E59" s="116">
        <f t="shared" si="10"/>
        <v>0.0799999999999999</v>
      </c>
      <c r="F59" s="116">
        <f t="shared" si="10"/>
        <v>0.31</v>
      </c>
      <c r="G59" s="116">
        <f t="shared" si="10"/>
        <v>0.0799999999999999</v>
      </c>
      <c r="H59" s="116">
        <f t="shared" si="10"/>
        <v>-0.15</v>
      </c>
      <c r="I59" s="116">
        <f t="shared" si="10"/>
        <v>0.0799999999999998</v>
      </c>
      <c r="J59" s="116">
        <f t="shared" si="10"/>
        <v>0.0799999999999998</v>
      </c>
      <c r="K59" s="117" cm="1">
        <f t="array" ref="K59">(SUMPRODUCT(C46:J46,C58:J58)-SUMPRODUCT(C52:J52,C46:J46))/SUMPRODUCT(C46:J46,C58:J58)</f>
        <v>0.339867298578199</v>
      </c>
      <c r="L59" s="7"/>
      <c r="M59" s="70" t="s">
        <v>115</v>
      </c>
      <c r="N59" s="97" t="str">
        <f>"+/-"&amp;ROUND(N54*10%,1)</f>
        <v>+/-0.4</v>
      </c>
      <c r="O59" s="97">
        <v>0</v>
      </c>
      <c r="P59" s="97" t="str">
        <f>"+/-"&amp;ROUND(N54*10%,1)</f>
        <v>+/-0.4</v>
      </c>
      <c r="Q59" s="97" t="str">
        <f>"+/-"&amp;ROUND(N54*10%*0.7,1)</f>
        <v>+/-0.3</v>
      </c>
      <c r="R59" s="97" t="str">
        <f>"+/-"&amp;ROUND(N54*10%*0.5,1)</f>
        <v>+/-0.2</v>
      </c>
      <c r="S59" s="85" t="str">
        <f>"+"&amp;ROUND((N54*1.1-O54)/(N54*1.1)-S54,3)*100&amp;"%/"&amp;ROUND((N54*0.9-O54)/(N54*0.9)-S54,3)*100&amp;"%"</f>
        <v>+6.9%/-8.5%</v>
      </c>
      <c r="T59" s="85" t="str">
        <f>"+"&amp;ROUND((N54*1.1-O54)*0.7/(N54*1.1)-T54,3)*100&amp;"%/"&amp;ROUND((N54*0.9-O54)*0.7/(N54*0.9)-T54,3)*100&amp;"%"</f>
        <v>+4.8%/-5.9%</v>
      </c>
      <c r="U59" s="85" t="str">
        <f>"+"&amp;ROUND((N54*1.1-O54)*0.5/(N54*1.1)-U54,3)*100&amp;"%/"&amp;ROUND((N54*0.9-O54)*0.5/(N54*0.9)-U54,3)*100&amp;"%"</f>
        <v>+3.5%/-4.2%</v>
      </c>
      <c r="V59" s="66"/>
      <c r="W59" s="66"/>
      <c r="X59" s="66"/>
      <c r="Y59" s="66"/>
      <c r="Z59" s="66"/>
      <c r="AA59" s="67"/>
    </row>
    <row r="60" s="1" customFormat="1" spans="2:27">
      <c r="B60" s="118" t="s">
        <v>119</v>
      </c>
      <c r="C60" s="96">
        <f>10*0.3+5*0.7</f>
        <v>6.5</v>
      </c>
      <c r="D60" s="96">
        <f t="shared" ref="C60:J60" si="11">10*0.3+5*0.7</f>
        <v>6.5</v>
      </c>
      <c r="E60" s="96">
        <f t="shared" si="11"/>
        <v>6.5</v>
      </c>
      <c r="F60" s="96">
        <f t="shared" si="11"/>
        <v>6.5</v>
      </c>
      <c r="G60" s="96">
        <f t="shared" si="11"/>
        <v>6.5</v>
      </c>
      <c r="H60" s="96">
        <f t="shared" si="11"/>
        <v>6.5</v>
      </c>
      <c r="I60" s="96">
        <f t="shared" si="11"/>
        <v>6.5</v>
      </c>
      <c r="J60" s="96">
        <f t="shared" si="11"/>
        <v>6.5</v>
      </c>
      <c r="K60" s="119"/>
      <c r="L60" s="7"/>
      <c r="M60" s="70" t="s">
        <v>116</v>
      </c>
      <c r="N60" s="63">
        <f>200/N54*10/12</f>
        <v>40.5071495118888</v>
      </c>
      <c r="O60" s="63"/>
      <c r="P60" s="63"/>
      <c r="Q60" s="63"/>
      <c r="R60" s="63"/>
      <c r="S60" s="71"/>
      <c r="T60" s="124"/>
      <c r="U60" s="124"/>
      <c r="V60" s="66"/>
      <c r="W60" s="66"/>
      <c r="X60" s="66"/>
      <c r="Y60" s="66"/>
      <c r="Z60" s="66"/>
      <c r="AA60" s="67"/>
    </row>
    <row r="61" s="1" customFormat="1" spans="2:27">
      <c r="B61" s="54" t="s">
        <v>121</v>
      </c>
      <c r="C61" s="86">
        <f t="shared" ref="C61:J61" si="12">C60*C56/1000</f>
        <v>0.0065</v>
      </c>
      <c r="D61" s="86">
        <f t="shared" si="12"/>
        <v>0.0065</v>
      </c>
      <c r="E61" s="86">
        <f t="shared" si="12"/>
        <v>0.0065</v>
      </c>
      <c r="F61" s="86">
        <f t="shared" si="12"/>
        <v>0.013</v>
      </c>
      <c r="G61" s="86">
        <f t="shared" si="12"/>
        <v>0.013</v>
      </c>
      <c r="H61" s="86">
        <f t="shared" si="12"/>
        <v>0.013</v>
      </c>
      <c r="I61" s="86">
        <f t="shared" si="12"/>
        <v>0.0195</v>
      </c>
      <c r="J61" s="86">
        <f t="shared" si="12"/>
        <v>0.039</v>
      </c>
      <c r="K61" s="87">
        <f>SUM(C61:J61)</f>
        <v>0.117</v>
      </c>
      <c r="L61" s="7"/>
      <c r="M61" s="54" t="s">
        <v>51</v>
      </c>
      <c r="N61" s="57" t="s">
        <v>94</v>
      </c>
      <c r="O61" s="57" t="s">
        <v>95</v>
      </c>
      <c r="P61" s="57" t="s">
        <v>96</v>
      </c>
      <c r="Q61" s="4" t="s">
        <v>97</v>
      </c>
      <c r="R61" s="4"/>
      <c r="S61" s="58" t="s">
        <v>67</v>
      </c>
      <c r="T61" s="58" t="s">
        <v>98</v>
      </c>
      <c r="U61" s="58"/>
      <c r="V61" s="66"/>
      <c r="W61" s="66"/>
      <c r="X61" s="66"/>
      <c r="Y61" s="66"/>
      <c r="Z61" s="66"/>
      <c r="AA61" s="67"/>
    </row>
    <row r="62" s="1" customFormat="1" spans="2:27">
      <c r="B62" s="115" t="s">
        <v>67</v>
      </c>
      <c r="C62" s="116">
        <f t="shared" ref="C62:J62" si="13">(C61-C52)/C61</f>
        <v>0.893846153846154</v>
      </c>
      <c r="D62" s="116">
        <f t="shared" si="13"/>
        <v>0.469230769230769</v>
      </c>
      <c r="E62" s="116">
        <f t="shared" si="13"/>
        <v>-0.0615384615384617</v>
      </c>
      <c r="F62" s="116">
        <f t="shared" si="13"/>
        <v>0.203846153846154</v>
      </c>
      <c r="G62" s="116">
        <f t="shared" si="13"/>
        <v>-0.0615384615384617</v>
      </c>
      <c r="H62" s="116">
        <f t="shared" si="13"/>
        <v>-0.326923076923077</v>
      </c>
      <c r="I62" s="116">
        <f t="shared" si="13"/>
        <v>-0.0615384615384617</v>
      </c>
      <c r="J62" s="116">
        <f t="shared" si="13"/>
        <v>-0.0615384615384617</v>
      </c>
      <c r="K62" s="117" cm="1">
        <f t="array" ref="K62">(SUMPRODUCT(C46:J46,C61:J61)-SUMPRODUCT(C52:J52,C46:J46))/SUMPRODUCT(C46:J46,C61:J61)</f>
        <v>0.238308421436383</v>
      </c>
      <c r="L62" s="7"/>
      <c r="M62" s="54"/>
      <c r="N62" s="57"/>
      <c r="O62" s="57"/>
      <c r="P62" s="57"/>
      <c r="Q62" s="4" t="s">
        <v>99</v>
      </c>
      <c r="R62" s="4" t="s">
        <v>100</v>
      </c>
      <c r="S62" s="58"/>
      <c r="T62" s="4" t="s">
        <v>99</v>
      </c>
      <c r="U62" s="4" t="s">
        <v>100</v>
      </c>
      <c r="V62" s="66"/>
      <c r="W62" s="66"/>
      <c r="X62" s="66"/>
      <c r="Y62" s="66"/>
      <c r="Z62" s="66"/>
      <c r="AA62" s="67"/>
    </row>
    <row r="63" s="1" customFormat="1" spans="2:27">
      <c r="B63" s="118" t="s">
        <v>122</v>
      </c>
      <c r="C63" s="96">
        <v>4</v>
      </c>
      <c r="D63" s="96">
        <v>4</v>
      </c>
      <c r="E63" s="96">
        <v>4</v>
      </c>
      <c r="F63" s="96">
        <v>4</v>
      </c>
      <c r="G63" s="96">
        <v>4</v>
      </c>
      <c r="H63" s="96">
        <v>4</v>
      </c>
      <c r="I63" s="96">
        <v>4</v>
      </c>
      <c r="J63" s="96">
        <v>4</v>
      </c>
      <c r="K63" s="117"/>
      <c r="L63" s="7"/>
      <c r="M63" s="81" t="s">
        <v>122</v>
      </c>
      <c r="N63" s="82" cm="1">
        <f t="array" ref="N63">SUMPRODUCT(C46:J46,C64:J64)*30/10000</f>
        <v>2.532</v>
      </c>
      <c r="O63" s="82" cm="1">
        <f t="array" ref="O63">SUMPRODUCT(C46:J46,C52:J52)*30/10000</f>
        <v>3.13398</v>
      </c>
      <c r="P63" s="83">
        <f>N63-O63</f>
        <v>-0.60198</v>
      </c>
      <c r="Q63" s="63">
        <f>P63*0.7</f>
        <v>-0.421386</v>
      </c>
      <c r="R63" s="63">
        <f>P63*0.5</f>
        <v>-0.30099</v>
      </c>
      <c r="S63" s="94">
        <f>P63/N63</f>
        <v>-0.237748815165877</v>
      </c>
      <c r="T63" s="64"/>
      <c r="U63" s="64"/>
      <c r="V63" s="66"/>
      <c r="W63" s="66"/>
      <c r="X63" s="66"/>
      <c r="Y63" s="66"/>
      <c r="Z63" s="66"/>
      <c r="AA63" s="67"/>
    </row>
    <row r="64" s="1" customFormat="1" spans="2:27">
      <c r="B64" s="54" t="s">
        <v>121</v>
      </c>
      <c r="C64" s="86">
        <f>C63*C56/1000</f>
        <v>0.004</v>
      </c>
      <c r="D64" s="86">
        <f t="shared" ref="D64:J64" si="14">D63*D56/1000</f>
        <v>0.004</v>
      </c>
      <c r="E64" s="86">
        <f t="shared" si="14"/>
        <v>0.004</v>
      </c>
      <c r="F64" s="86">
        <f t="shared" si="14"/>
        <v>0.008</v>
      </c>
      <c r="G64" s="86">
        <f t="shared" si="14"/>
        <v>0.008</v>
      </c>
      <c r="H64" s="86">
        <f t="shared" si="14"/>
        <v>0.008</v>
      </c>
      <c r="I64" s="86">
        <f t="shared" si="14"/>
        <v>0.012</v>
      </c>
      <c r="J64" s="86">
        <f t="shared" si="14"/>
        <v>0.024</v>
      </c>
      <c r="K64" s="117"/>
      <c r="L64" s="7"/>
      <c r="M64" s="122" t="s">
        <v>104</v>
      </c>
      <c r="N64" s="123"/>
      <c r="O64" s="123"/>
      <c r="P64" s="123"/>
      <c r="Q64" s="123"/>
      <c r="R64" s="123"/>
      <c r="S64" s="123"/>
      <c r="T64" s="123"/>
      <c r="U64" s="123"/>
      <c r="V64" s="66"/>
      <c r="W64" s="66"/>
      <c r="X64" s="66"/>
      <c r="Y64" s="66"/>
      <c r="Z64" s="66"/>
      <c r="AA64" s="67"/>
    </row>
    <row r="65" s="1" customFormat="1" spans="2:27">
      <c r="B65" s="115" t="s">
        <v>67</v>
      </c>
      <c r="C65" s="116">
        <f>(C64-C52)/C64</f>
        <v>0.8275</v>
      </c>
      <c r="D65" s="116">
        <f t="shared" ref="D65:J65" si="15">(D64-D52)/D64</f>
        <v>0.1375</v>
      </c>
      <c r="E65" s="116">
        <f t="shared" si="15"/>
        <v>-0.725</v>
      </c>
      <c r="F65" s="116">
        <f t="shared" si="15"/>
        <v>-0.29375</v>
      </c>
      <c r="G65" s="116">
        <f t="shared" si="15"/>
        <v>-0.725</v>
      </c>
      <c r="H65" s="116">
        <f t="shared" si="15"/>
        <v>-1.15625</v>
      </c>
      <c r="I65" s="116">
        <f t="shared" si="15"/>
        <v>-0.725</v>
      </c>
      <c r="J65" s="116">
        <f t="shared" si="15"/>
        <v>-0.725</v>
      </c>
      <c r="K65" s="117" cm="1">
        <f t="array" ref="K65">(SUMPRODUCT(C46:J46,C64:J64)-SUMPRODUCT(C52:J52,C46:J46))/SUMPRODUCT(C46:J46,C64:J64)</f>
        <v>-0.237748815165877</v>
      </c>
      <c r="L65" s="7"/>
      <c r="M65" s="56" t="s">
        <v>105</v>
      </c>
      <c r="N65" s="57" t="s">
        <v>106</v>
      </c>
      <c r="O65" s="57" t="s">
        <v>107</v>
      </c>
      <c r="P65" s="57" t="s">
        <v>108</v>
      </c>
      <c r="Q65" s="4" t="s">
        <v>109</v>
      </c>
      <c r="R65" s="4"/>
      <c r="S65" s="58" t="s">
        <v>110</v>
      </c>
      <c r="T65" s="58" t="s">
        <v>98</v>
      </c>
      <c r="U65" s="58"/>
      <c r="V65" s="66"/>
      <c r="W65" s="66"/>
      <c r="X65" s="66"/>
      <c r="Y65" s="66"/>
      <c r="Z65" s="66"/>
      <c r="AA65" s="67"/>
    </row>
    <row r="66" s="1" customFormat="1" spans="2:27">
      <c r="B66" s="77"/>
      <c r="C66" s="78"/>
      <c r="D66" s="78"/>
      <c r="E66" s="78"/>
      <c r="F66" s="78"/>
      <c r="G66" s="78"/>
      <c r="H66" s="78"/>
      <c r="I66" s="78"/>
      <c r="J66" s="78"/>
      <c r="K66" s="125"/>
      <c r="L66" s="7"/>
      <c r="M66" s="56"/>
      <c r="N66" s="57"/>
      <c r="O66" s="57"/>
      <c r="P66" s="57"/>
      <c r="Q66" s="4" t="s">
        <v>99</v>
      </c>
      <c r="R66" s="4" t="s">
        <v>100</v>
      </c>
      <c r="S66" s="58"/>
      <c r="T66" s="4" t="s">
        <v>99</v>
      </c>
      <c r="U66" s="4" t="s">
        <v>100</v>
      </c>
      <c r="V66" s="66"/>
      <c r="W66" s="66"/>
      <c r="X66" s="66"/>
      <c r="Y66" s="66"/>
      <c r="Z66" s="66"/>
      <c r="AA66" s="67"/>
    </row>
    <row r="67" s="1" customFormat="1" spans="2:27">
      <c r="B67" s="59" t="s">
        <v>123</v>
      </c>
      <c r="C67" s="60"/>
      <c r="D67" s="60"/>
      <c r="E67" s="60"/>
      <c r="F67" s="60"/>
      <c r="G67" s="60"/>
      <c r="H67" s="60"/>
      <c r="I67" s="60"/>
      <c r="J67" s="60"/>
      <c r="K67" s="61"/>
      <c r="L67" s="7"/>
      <c r="M67" s="98" t="s">
        <v>114</v>
      </c>
      <c r="N67" s="97">
        <v>0</v>
      </c>
      <c r="O67" s="97" t="str">
        <f>"+/-"&amp;ROUND(O63*10%,1)</f>
        <v>+/-0.3</v>
      </c>
      <c r="P67" s="97" t="str">
        <f>"-/+"&amp;ROUND(O63*10%,1)</f>
        <v>-/+0.3</v>
      </c>
      <c r="Q67" s="97" t="str">
        <f>"-/+"&amp;ROUND(O63*0.1*0.7,1)</f>
        <v>-/+0.2</v>
      </c>
      <c r="R67" s="97" t="str">
        <f>"-/+"&amp;ROUND(O63*0.1*0.5,1)</f>
        <v>-/+0.2</v>
      </c>
      <c r="S67" s="85" t="str">
        <f>"-/+"&amp;ROUND((N63-O63*0.9)/N63-S63,3)*100&amp;"%"</f>
        <v>-/+12.4%</v>
      </c>
      <c r="T67" s="85"/>
      <c r="U67" s="85"/>
      <c r="V67" s="66"/>
      <c r="W67" s="66"/>
      <c r="X67" s="66"/>
      <c r="Y67" s="66"/>
      <c r="Z67" s="66"/>
      <c r="AA67" s="67"/>
    </row>
    <row r="68" s="1" customFormat="1" spans="2:27">
      <c r="B68" s="59" t="s">
        <v>124</v>
      </c>
      <c r="C68" s="60"/>
      <c r="D68" s="60"/>
      <c r="E68" s="60"/>
      <c r="F68" s="60"/>
      <c r="G68" s="60"/>
      <c r="H68" s="60"/>
      <c r="I68" s="60"/>
      <c r="J68" s="60"/>
      <c r="K68" s="61"/>
      <c r="L68" s="7"/>
      <c r="M68" s="70" t="s">
        <v>115</v>
      </c>
      <c r="N68" s="97" t="str">
        <f>"+/-"&amp;ROUND(N63*10%,1)</f>
        <v>+/-0.3</v>
      </c>
      <c r="O68" s="97">
        <v>0</v>
      </c>
      <c r="P68" s="97" t="str">
        <f>"+/-"&amp;ROUND(N63*10%,1)</f>
        <v>+/-0.3</v>
      </c>
      <c r="Q68" s="97" t="str">
        <f>"+/-"&amp;ROUND(N63*10%*0.7,1)</f>
        <v>+/-0.2</v>
      </c>
      <c r="R68" s="97" t="str">
        <f>"+/-"&amp;ROUND(N63*10%*0.5,1)</f>
        <v>+/-0.1</v>
      </c>
      <c r="S68" s="85" t="str">
        <f>"+"&amp;ROUND((N63*1.1-O63)/(N63*1.1)-S63,3)*100&amp;"%/"&amp;ROUND((N63*0.9-O63)/(N63*0.9)-S63,3)*100&amp;"%"</f>
        <v>+11.3%/-13.8%</v>
      </c>
      <c r="T68" s="85"/>
      <c r="U68" s="85"/>
      <c r="V68" s="66"/>
      <c r="W68" s="66"/>
      <c r="X68" s="66"/>
      <c r="Y68" s="66"/>
      <c r="Z68" s="66"/>
      <c r="AA68" s="67"/>
    </row>
    <row r="69" s="1" customFormat="1" spans="2:27">
      <c r="B69" s="115" t="s">
        <v>125</v>
      </c>
      <c r="C69" s="126">
        <f t="shared" ref="C69:J69" si="16">(C58-C52)*0.7/C58</f>
        <v>0.6356</v>
      </c>
      <c r="D69" s="126">
        <f t="shared" si="16"/>
        <v>0.378</v>
      </c>
      <c r="E69" s="126">
        <f t="shared" si="16"/>
        <v>0.0559999999999999</v>
      </c>
      <c r="F69" s="126">
        <f t="shared" si="16"/>
        <v>0.217</v>
      </c>
      <c r="G69" s="126">
        <f t="shared" si="16"/>
        <v>0.0559999999999999</v>
      </c>
      <c r="H69" s="126">
        <f t="shared" si="16"/>
        <v>-0.105</v>
      </c>
      <c r="I69" s="126">
        <f t="shared" si="16"/>
        <v>0.0559999999999999</v>
      </c>
      <c r="J69" s="126">
        <f t="shared" si="16"/>
        <v>0.0559999999999999</v>
      </c>
      <c r="K69" s="127" cm="1">
        <f t="array" ref="K69">(SUMPRODUCT(C46:J46,C58:J58)-SUMPRODUCT(C52:J52,C46:J46))/SUMPRODUCT(C46:J46,C58:J58)*0.7</f>
        <v>0.237907109004739</v>
      </c>
      <c r="L69" s="7"/>
      <c r="M69" s="70" t="s">
        <v>116</v>
      </c>
      <c r="N69" s="63">
        <f>200/N63*10/12</f>
        <v>65.8241179568194</v>
      </c>
      <c r="O69" s="63"/>
      <c r="P69" s="63"/>
      <c r="Q69" s="63"/>
      <c r="R69" s="63"/>
      <c r="S69" s="71"/>
      <c r="T69" s="124"/>
      <c r="U69" s="124"/>
      <c r="V69" s="66"/>
      <c r="W69" s="66"/>
      <c r="X69" s="66"/>
      <c r="Y69" s="66"/>
      <c r="Z69" s="66"/>
      <c r="AA69" s="67"/>
    </row>
    <row r="70" s="1" customFormat="1" spans="2:27">
      <c r="B70" s="115" t="s">
        <v>126</v>
      </c>
      <c r="C70" s="126">
        <f t="shared" ref="C70:J70" si="17">(C61-C52)*0.7/C61</f>
        <v>0.625692307692308</v>
      </c>
      <c r="D70" s="126">
        <f t="shared" si="17"/>
        <v>0.328461538461538</v>
      </c>
      <c r="E70" s="126">
        <f t="shared" si="17"/>
        <v>-0.0430769230769232</v>
      </c>
      <c r="F70" s="126">
        <f t="shared" si="17"/>
        <v>0.142692307692308</v>
      </c>
      <c r="G70" s="126">
        <f t="shared" si="17"/>
        <v>-0.0430769230769232</v>
      </c>
      <c r="H70" s="126">
        <f t="shared" si="17"/>
        <v>-0.228846153846154</v>
      </c>
      <c r="I70" s="126">
        <f t="shared" si="17"/>
        <v>-0.0430769230769232</v>
      </c>
      <c r="J70" s="126">
        <f t="shared" si="17"/>
        <v>-0.0430769230769232</v>
      </c>
      <c r="K70" s="127" cm="1">
        <f t="array" ref="K70">(SUMPRODUCT(C46:J46,C61:J61)-SUMPRODUCT(C52:J52,C46:J46))/SUMPRODUCT(C46:J46,C61:J61)*0.7</f>
        <v>0.166815895005468</v>
      </c>
      <c r="L70" s="7"/>
      <c r="M70" s="54" t="s">
        <v>51</v>
      </c>
      <c r="N70" s="57" t="s">
        <v>94</v>
      </c>
      <c r="O70" s="57" t="s">
        <v>95</v>
      </c>
      <c r="P70" s="57" t="s">
        <v>96</v>
      </c>
      <c r="Q70" s="4" t="s">
        <v>97</v>
      </c>
      <c r="R70" s="4"/>
      <c r="S70" s="58" t="s">
        <v>67</v>
      </c>
      <c r="T70" s="58" t="s">
        <v>98</v>
      </c>
      <c r="U70" s="58"/>
      <c r="V70" s="66"/>
      <c r="W70" s="66"/>
      <c r="X70" s="66"/>
      <c r="Y70" s="66"/>
      <c r="Z70" s="66"/>
      <c r="AA70" s="67"/>
    </row>
    <row r="71" s="1" customFormat="1" spans="2:27">
      <c r="B71" s="59" t="s">
        <v>127</v>
      </c>
      <c r="C71" s="60"/>
      <c r="D71" s="60"/>
      <c r="E71" s="60"/>
      <c r="F71" s="60"/>
      <c r="G71" s="60"/>
      <c r="H71" s="60"/>
      <c r="I71" s="60"/>
      <c r="J71" s="60"/>
      <c r="K71" s="61"/>
      <c r="L71" s="7"/>
      <c r="M71" s="54"/>
      <c r="N71" s="57"/>
      <c r="O71" s="57"/>
      <c r="P71" s="57"/>
      <c r="Q71" s="4" t="s">
        <v>99</v>
      </c>
      <c r="R71" s="4" t="s">
        <v>100</v>
      </c>
      <c r="S71" s="58"/>
      <c r="T71" s="4" t="s">
        <v>99</v>
      </c>
      <c r="U71" s="4" t="s">
        <v>100</v>
      </c>
      <c r="V71" s="66"/>
      <c r="W71" s="66"/>
      <c r="X71" s="66"/>
      <c r="Y71" s="66"/>
      <c r="Z71" s="66"/>
      <c r="AA71" s="67"/>
    </row>
    <row r="72" s="1" customFormat="1" ht="30" spans="2:27">
      <c r="B72" s="54" t="s">
        <v>125</v>
      </c>
      <c r="C72" s="85">
        <f t="shared" ref="C72:J72" si="18">(C58-C52)*0.5/C58</f>
        <v>0.454</v>
      </c>
      <c r="D72" s="85">
        <f t="shared" si="18"/>
        <v>0.27</v>
      </c>
      <c r="E72" s="85">
        <f t="shared" si="18"/>
        <v>0.0399999999999999</v>
      </c>
      <c r="F72" s="85">
        <f t="shared" si="18"/>
        <v>0.155</v>
      </c>
      <c r="G72" s="85">
        <f t="shared" si="18"/>
        <v>0.0399999999999999</v>
      </c>
      <c r="H72" s="85">
        <f t="shared" si="18"/>
        <v>-0.0750000000000001</v>
      </c>
      <c r="I72" s="85">
        <f t="shared" si="18"/>
        <v>0.0399999999999999</v>
      </c>
      <c r="J72" s="85">
        <f t="shared" si="18"/>
        <v>0.0399999999999999</v>
      </c>
      <c r="K72" s="73" cm="1">
        <f t="array" ref="K72">(SUMPRODUCT(C46:J46,C58:J58)-SUMPRODUCT(C52:J52,C46:J46))/SUMPRODUCT(C46:J46,C58:J58)*0.5</f>
        <v>0.169933649289099</v>
      </c>
      <c r="L72" s="7"/>
      <c r="M72" s="128" t="s">
        <v>128</v>
      </c>
      <c r="N72" s="129" cm="1">
        <f t="array" ref="N72">SUMPRODUCT(C46:J46,C58:J58)*30/C57*18/10000</f>
        <v>11.394</v>
      </c>
      <c r="O72" s="129">
        <f>O45</f>
        <v>3.13398</v>
      </c>
      <c r="P72" s="129">
        <f>N72-O72</f>
        <v>8.26002</v>
      </c>
      <c r="Q72" s="129">
        <f>P72*0.7</f>
        <v>5.782014</v>
      </c>
      <c r="R72" s="129">
        <f>P72*0.5</f>
        <v>4.13001</v>
      </c>
      <c r="S72" s="94">
        <f>P72/N72</f>
        <v>0.724944707740916</v>
      </c>
      <c r="T72" s="94">
        <f>S72*0.7</f>
        <v>0.507461295418641</v>
      </c>
      <c r="U72" s="94">
        <f>S72*0.5</f>
        <v>0.362472353870458</v>
      </c>
      <c r="V72" s="66"/>
      <c r="W72" s="66"/>
      <c r="X72" s="66"/>
      <c r="Y72" s="66"/>
      <c r="Z72" s="66"/>
      <c r="AA72" s="67"/>
    </row>
    <row r="73" s="1" customFormat="1" ht="17.25" spans="2:27">
      <c r="B73" s="107" t="s">
        <v>126</v>
      </c>
      <c r="C73" s="101">
        <f t="shared" ref="C73:J73" si="19">(C61-C52)*0.5/C61</f>
        <v>0.446923076923077</v>
      </c>
      <c r="D73" s="101">
        <f t="shared" si="19"/>
        <v>0.234615384615385</v>
      </c>
      <c r="E73" s="101">
        <f t="shared" si="19"/>
        <v>-0.0307692307692309</v>
      </c>
      <c r="F73" s="101">
        <f t="shared" si="19"/>
        <v>0.101923076923077</v>
      </c>
      <c r="G73" s="101">
        <f t="shared" si="19"/>
        <v>-0.0307692307692309</v>
      </c>
      <c r="H73" s="101">
        <f t="shared" si="19"/>
        <v>-0.163461538461539</v>
      </c>
      <c r="I73" s="101">
        <f t="shared" si="19"/>
        <v>-0.0307692307692309</v>
      </c>
      <c r="J73" s="101">
        <f t="shared" si="19"/>
        <v>-0.0307692307692309</v>
      </c>
      <c r="K73" s="108" cm="1">
        <f t="array" ref="K73">(SUMPRODUCT(C46:J46,C61:J61)-SUMPRODUCT(C52:J52,C46:J46))/SUMPRODUCT(C46:J46,C61:J61)*0.5</f>
        <v>0.119154210718192</v>
      </c>
      <c r="L73" s="7"/>
      <c r="M73" s="99" t="s">
        <v>116</v>
      </c>
      <c r="N73" s="130">
        <f>200/N72/12*10</f>
        <v>14.6275817681821</v>
      </c>
      <c r="O73" s="130"/>
      <c r="P73" s="130"/>
      <c r="Q73" s="130"/>
      <c r="R73" s="130"/>
      <c r="S73" s="130"/>
      <c r="T73" s="101"/>
      <c r="U73" s="101"/>
      <c r="V73" s="102"/>
      <c r="W73" s="102"/>
      <c r="X73" s="102"/>
      <c r="Y73" s="102"/>
      <c r="Z73" s="102"/>
      <c r="AA73" s="103"/>
    </row>
    <row r="74" s="1" customFormat="1" spans="2:27">
      <c r="B74" s="109"/>
      <c r="L74" s="7"/>
      <c r="M74" s="7"/>
      <c r="N74" s="7"/>
    </row>
    <row r="75" s="1" customFormat="1" spans="2:27">
      <c r="B75" s="48" t="s">
        <v>129</v>
      </c>
      <c r="C75" s="48"/>
      <c r="D75" s="48"/>
      <c r="E75" s="48"/>
      <c r="F75" s="48"/>
      <c r="G75" s="48"/>
      <c r="H75" s="48"/>
      <c r="I75" s="48"/>
      <c r="J75" s="48"/>
      <c r="K75" s="48"/>
      <c r="L75" s="7"/>
      <c r="M75" s="7"/>
      <c r="N75" s="7"/>
    </row>
    <row r="76" s="1" customFormat="1" spans="2:27"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7"/>
      <c r="M76" s="7"/>
      <c r="N76" s="7"/>
    </row>
    <row r="77" s="1" customFormat="1" ht="17.25" spans="2:27"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7"/>
      <c r="M77" s="7"/>
      <c r="N77" s="7"/>
    </row>
    <row r="78" s="1" customFormat="1" spans="2:27">
      <c r="B78" s="120" t="s">
        <v>51</v>
      </c>
      <c r="C78" s="50" t="s">
        <v>83</v>
      </c>
      <c r="D78" s="50"/>
      <c r="E78" s="50"/>
      <c r="F78" s="50"/>
      <c r="G78" s="50"/>
      <c r="H78" s="50"/>
      <c r="I78" s="50"/>
      <c r="J78" s="50"/>
      <c r="K78" s="51"/>
      <c r="L78" s="7"/>
      <c r="M78" s="52" t="s">
        <v>51</v>
      </c>
      <c r="N78" s="53" t="s">
        <v>130</v>
      </c>
      <c r="O78" s="53"/>
      <c r="P78" s="53"/>
      <c r="Q78" s="53"/>
      <c r="R78" s="53"/>
      <c r="S78" s="53"/>
      <c r="T78" s="53"/>
      <c r="U78" s="53"/>
      <c r="V78" s="50" t="s">
        <v>85</v>
      </c>
      <c r="W78" s="50"/>
      <c r="X78" s="50"/>
      <c r="Y78" s="50"/>
      <c r="Z78" s="50"/>
      <c r="AA78" s="51"/>
    </row>
    <row r="79" s="1" customFormat="1" spans="2:27">
      <c r="B79" s="121"/>
      <c r="C79" s="110" t="s">
        <v>86</v>
      </c>
      <c r="D79" s="110" t="s">
        <v>87</v>
      </c>
      <c r="E79" s="110" t="s">
        <v>88</v>
      </c>
      <c r="F79" s="110" t="s">
        <v>89</v>
      </c>
      <c r="G79" s="110" t="s">
        <v>90</v>
      </c>
      <c r="H79" s="110" t="s">
        <v>91</v>
      </c>
      <c r="I79" s="110" t="s">
        <v>92</v>
      </c>
      <c r="J79" s="110" t="s">
        <v>93</v>
      </c>
      <c r="K79" s="111" t="s">
        <v>52</v>
      </c>
      <c r="L79" s="7"/>
      <c r="M79" s="56"/>
      <c r="N79" s="57" t="s">
        <v>94</v>
      </c>
      <c r="O79" s="57" t="s">
        <v>95</v>
      </c>
      <c r="P79" s="57" t="s">
        <v>96</v>
      </c>
      <c r="Q79" s="4" t="s">
        <v>97</v>
      </c>
      <c r="R79" s="4"/>
      <c r="S79" s="58" t="s">
        <v>67</v>
      </c>
      <c r="T79" s="58" t="s">
        <v>98</v>
      </c>
      <c r="U79" s="58"/>
      <c r="V79" s="3"/>
      <c r="W79" s="3"/>
      <c r="X79" s="3"/>
      <c r="Y79" s="3"/>
      <c r="Z79" s="3"/>
      <c r="AA79" s="55"/>
    </row>
    <row r="80" s="1" customFormat="1" spans="2:27">
      <c r="B80" s="115"/>
      <c r="C80" s="112"/>
      <c r="D80" s="112"/>
      <c r="E80" s="112"/>
      <c r="F80" s="112"/>
      <c r="G80" s="112"/>
      <c r="H80" s="112"/>
      <c r="I80" s="112"/>
      <c r="J80" s="112"/>
      <c r="K80" s="113"/>
      <c r="L80" s="7"/>
      <c r="M80" s="56"/>
      <c r="N80" s="57"/>
      <c r="O80" s="57"/>
      <c r="P80" s="57"/>
      <c r="Q80" s="4" t="s">
        <v>99</v>
      </c>
      <c r="R80" s="4" t="s">
        <v>100</v>
      </c>
      <c r="S80" s="58"/>
      <c r="T80" s="4" t="s">
        <v>99</v>
      </c>
      <c r="U80" s="4" t="s">
        <v>100</v>
      </c>
      <c r="V80" s="3"/>
      <c r="W80" s="3"/>
      <c r="X80" s="3"/>
      <c r="Y80" s="3"/>
      <c r="Z80" s="3"/>
      <c r="AA80" s="55"/>
    </row>
    <row r="81" s="1" customFormat="1" spans="2:27">
      <c r="B81" s="59" t="s">
        <v>101</v>
      </c>
      <c r="C81" s="60"/>
      <c r="D81" s="60"/>
      <c r="E81" s="60"/>
      <c r="F81" s="60"/>
      <c r="G81" s="60"/>
      <c r="H81" s="60"/>
      <c r="I81" s="60"/>
      <c r="J81" s="60"/>
      <c r="K81" s="61"/>
      <c r="L81" s="7"/>
      <c r="M81" s="62" t="s">
        <v>102</v>
      </c>
      <c r="N81" s="63" cm="1">
        <f t="array" ref="N81">SUMPRODUCT(C82:J82,C94:J94)*30/10000</f>
        <v>5.6025</v>
      </c>
      <c r="O81" s="63" cm="1">
        <f t="array" ref="O81">SUMPRODUCT(C88:J88,C82:J82)*30/10000</f>
        <v>4.16484</v>
      </c>
      <c r="P81" s="63">
        <f>N81-O81</f>
        <v>1.43766</v>
      </c>
      <c r="Q81" s="63">
        <f>P81*0.7</f>
        <v>1.006362</v>
      </c>
      <c r="R81" s="63">
        <f>P81*0.5</f>
        <v>0.71883</v>
      </c>
      <c r="S81" s="64">
        <f>P81/N81</f>
        <v>0.256610441767068</v>
      </c>
      <c r="T81" s="64">
        <f>K105</f>
        <v>0.179627309236948</v>
      </c>
      <c r="U81" s="64">
        <f>K108</f>
        <v>0.128305220883534</v>
      </c>
      <c r="V81" s="65" t="s">
        <v>131</v>
      </c>
      <c r="W81" s="66"/>
      <c r="X81" s="66"/>
      <c r="Y81" s="66"/>
      <c r="Z81" s="66"/>
      <c r="AA81" s="67"/>
    </row>
    <row r="82" s="1" customFormat="1" spans="2:27">
      <c r="B82" s="54" t="s">
        <v>0</v>
      </c>
      <c r="C82" s="68">
        <f t="shared" ref="C82:J82" si="20">ROUND(C83*$K$46,0)</f>
        <v>52000</v>
      </c>
      <c r="D82" s="68">
        <f t="shared" si="20"/>
        <v>2000</v>
      </c>
      <c r="E82" s="68">
        <f t="shared" si="20"/>
        <v>3000</v>
      </c>
      <c r="F82" s="68">
        <f t="shared" si="20"/>
        <v>3000</v>
      </c>
      <c r="G82" s="68">
        <f t="shared" si="20"/>
        <v>3000</v>
      </c>
      <c r="H82" s="68">
        <f t="shared" si="20"/>
        <v>3000</v>
      </c>
      <c r="I82" s="68">
        <f t="shared" si="20"/>
        <v>10000</v>
      </c>
      <c r="J82" s="68">
        <f t="shared" si="20"/>
        <v>24000</v>
      </c>
      <c r="K82" s="69">
        <v>100000</v>
      </c>
      <c r="L82" s="7"/>
      <c r="M82" s="122" t="s">
        <v>104</v>
      </c>
      <c r="N82" s="123"/>
      <c r="O82" s="123"/>
      <c r="P82" s="123"/>
      <c r="Q82" s="123"/>
      <c r="R82" s="123"/>
      <c r="S82" s="123"/>
      <c r="T82" s="123"/>
      <c r="U82" s="123"/>
      <c r="V82" s="66"/>
      <c r="W82" s="66"/>
      <c r="X82" s="66"/>
      <c r="Y82" s="66"/>
      <c r="Z82" s="66"/>
      <c r="AA82" s="67"/>
    </row>
    <row r="83" s="1" customFormat="1" spans="2:27">
      <c r="B83" s="54" t="s">
        <v>16</v>
      </c>
      <c r="C83" s="72">
        <v>0.52</v>
      </c>
      <c r="D83" s="72">
        <v>0.02</v>
      </c>
      <c r="E83" s="72">
        <v>0.03</v>
      </c>
      <c r="F83" s="72">
        <v>0.03</v>
      </c>
      <c r="G83" s="72">
        <v>0.03</v>
      </c>
      <c r="H83" s="72">
        <v>0.03</v>
      </c>
      <c r="I83" s="72">
        <v>0.1</v>
      </c>
      <c r="J83" s="72">
        <v>0.24</v>
      </c>
      <c r="K83" s="87">
        <f>SUM(C83:J83)</f>
        <v>1</v>
      </c>
      <c r="L83" s="7"/>
      <c r="M83" s="56" t="s">
        <v>105</v>
      </c>
      <c r="N83" s="57" t="s">
        <v>106</v>
      </c>
      <c r="O83" s="57" t="s">
        <v>107</v>
      </c>
      <c r="P83" s="57" t="s">
        <v>108</v>
      </c>
      <c r="Q83" s="4" t="s">
        <v>109</v>
      </c>
      <c r="R83" s="4"/>
      <c r="S83" s="58" t="s">
        <v>110</v>
      </c>
      <c r="T83" s="58" t="s">
        <v>111</v>
      </c>
      <c r="U83" s="58"/>
      <c r="V83" s="66"/>
      <c r="W83" s="66"/>
      <c r="X83" s="66"/>
      <c r="Y83" s="66"/>
      <c r="Z83" s="66"/>
      <c r="AA83" s="67"/>
    </row>
    <row r="84" s="1" customFormat="1" spans="2:27">
      <c r="B84" s="59" t="s">
        <v>112</v>
      </c>
      <c r="C84" s="60"/>
      <c r="D84" s="60"/>
      <c r="E84" s="60"/>
      <c r="F84" s="60"/>
      <c r="G84" s="60"/>
      <c r="H84" s="60"/>
      <c r="I84" s="60"/>
      <c r="J84" s="60"/>
      <c r="K84" s="61"/>
      <c r="L84" s="7"/>
      <c r="M84" s="56"/>
      <c r="N84" s="57"/>
      <c r="O84" s="57"/>
      <c r="P84" s="57"/>
      <c r="Q84" s="4" t="s">
        <v>99</v>
      </c>
      <c r="R84" s="4" t="s">
        <v>100</v>
      </c>
      <c r="S84" s="58"/>
      <c r="T84" s="4" t="s">
        <v>99</v>
      </c>
      <c r="U84" s="4" t="s">
        <v>100</v>
      </c>
      <c r="V84" s="66"/>
      <c r="W84" s="66"/>
      <c r="X84" s="66"/>
      <c r="Y84" s="66"/>
      <c r="Z84" s="66"/>
      <c r="AA84" s="67"/>
    </row>
    <row r="85" s="1" customFormat="1" spans="2:27">
      <c r="B85" s="54" t="s">
        <v>113</v>
      </c>
      <c r="C85" s="80">
        <v>1</v>
      </c>
      <c r="D85" s="80">
        <v>5</v>
      </c>
      <c r="E85" s="80">
        <v>10</v>
      </c>
      <c r="F85" s="80">
        <v>15</v>
      </c>
      <c r="G85" s="80">
        <v>20</v>
      </c>
      <c r="H85" s="80">
        <v>25</v>
      </c>
      <c r="I85" s="80">
        <v>30</v>
      </c>
      <c r="J85" s="80">
        <v>60</v>
      </c>
      <c r="K85" s="55"/>
      <c r="L85" s="7"/>
      <c r="M85" s="98" t="s">
        <v>114</v>
      </c>
      <c r="N85" s="97">
        <v>0</v>
      </c>
      <c r="O85" s="97" t="str">
        <f>"+/-"&amp;ROUND(O81*10%,1)</f>
        <v>+/-0.4</v>
      </c>
      <c r="P85" s="97" t="str">
        <f>"-/+"&amp;ROUND(O81*10%,1)</f>
        <v>-/+0.4</v>
      </c>
      <c r="Q85" s="97" t="str">
        <f>"-/+"&amp;ROUND(O81*0.1*0.7,1)</f>
        <v>-/+0.3</v>
      </c>
      <c r="R85" s="97" t="str">
        <f>"-/+"&amp;ROUND(O81*0.1*0.5,1)</f>
        <v>-/+0.2</v>
      </c>
      <c r="S85" s="85" t="str">
        <f>"-/+"&amp;ROUND((N81-O81*0.9)/N81-S81,3)*100&amp;"%"</f>
        <v>-/+7.4%</v>
      </c>
      <c r="T85" s="85" t="str">
        <f>"-/+"&amp;ROUND((N81-O81*0.9)*0.7/N81-T81,3)*100&amp;"%"</f>
        <v>-/+5.2%</v>
      </c>
      <c r="U85" s="85" t="str">
        <f>"-/+"&amp;ROUND((N81-O81*0.9)*0.5/N81-U81,3)*100&amp;"%"</f>
        <v>-/+3.7%</v>
      </c>
      <c r="V85" s="66"/>
      <c r="W85" s="66"/>
      <c r="X85" s="66"/>
      <c r="Y85" s="66"/>
      <c r="Z85" s="66"/>
      <c r="AA85" s="67"/>
    </row>
    <row r="86" s="1" customFormat="1" spans="2:27">
      <c r="B86" s="54" t="s">
        <v>68</v>
      </c>
      <c r="C86" s="84">
        <v>2.3</v>
      </c>
      <c r="D86" s="84">
        <v>2.3</v>
      </c>
      <c r="E86" s="84">
        <v>2.3</v>
      </c>
      <c r="F86" s="84">
        <v>2.3</v>
      </c>
      <c r="G86" s="84">
        <v>2.3</v>
      </c>
      <c r="H86" s="84">
        <v>2.3</v>
      </c>
      <c r="I86" s="84">
        <v>2.3</v>
      </c>
      <c r="J86" s="84">
        <v>2.3</v>
      </c>
      <c r="K86" s="55"/>
      <c r="L86" s="7"/>
      <c r="M86" s="70" t="s">
        <v>115</v>
      </c>
      <c r="N86" s="97" t="str">
        <f>"+/-"&amp;ROUND(N81*10%,1)</f>
        <v>+/-0.6</v>
      </c>
      <c r="O86" s="97">
        <v>0</v>
      </c>
      <c r="P86" s="97" t="str">
        <f>"+/-"&amp;ROUND(N81*10%,1)</f>
        <v>+/-0.6</v>
      </c>
      <c r="Q86" s="97" t="str">
        <f>"+/-"&amp;ROUND(N81*10%*0.7,1)</f>
        <v>+/-0.4</v>
      </c>
      <c r="R86" s="97" t="str">
        <f>"+/-"&amp;ROUND(N81*10%*0.5,1)</f>
        <v>+/-0.3</v>
      </c>
      <c r="S86" s="85" t="str">
        <f>"+"&amp;ROUND((N81*1.1-O81)/(N81*1.1)-S81,3)*100&amp;"%/"&amp;ROUND((N81*0.9-O81)/(N81*0.9)-S81,3)*100&amp;"%"</f>
        <v>+6.8%/-8.3%</v>
      </c>
      <c r="T86" s="85" t="str">
        <f>"+"&amp;ROUND((N81*1.1-O81)*0.7/(N81*1.1)-T81,3)*100&amp;"%/"&amp;ROUND((N81*0.9-O81)*0.7/(N81*0.9)-T81,3)*100&amp;"%"</f>
        <v>+4.7%/-5.8%</v>
      </c>
      <c r="U86" s="85" t="str">
        <f>"+"&amp;ROUND((N81*1.1-O81)*0.5/(N81*1.1)-U81,3)*100&amp;"%/"&amp;ROUND((N81*0.9-O81)*0.5/(N81*0.9)-U81,3)*100&amp;"%"</f>
        <v>+3.4%/-4.1%</v>
      </c>
      <c r="V86" s="66"/>
      <c r="W86" s="66"/>
      <c r="X86" s="66"/>
      <c r="Y86" s="66"/>
      <c r="Z86" s="66"/>
      <c r="AA86" s="67"/>
    </row>
    <row r="87" s="1" customFormat="1" spans="2:27">
      <c r="B87" s="54" t="s">
        <v>80</v>
      </c>
      <c r="C87" s="84">
        <v>0.04</v>
      </c>
      <c r="D87" s="84">
        <v>0.04</v>
      </c>
      <c r="E87" s="84">
        <v>0.04</v>
      </c>
      <c r="F87" s="84">
        <v>0.04</v>
      </c>
      <c r="G87" s="84">
        <v>0.04</v>
      </c>
      <c r="H87" s="84">
        <v>0.04</v>
      </c>
      <c r="I87" s="84">
        <v>0.04</v>
      </c>
      <c r="J87" s="84">
        <v>0.04</v>
      </c>
      <c r="K87" s="55"/>
      <c r="L87" s="7"/>
      <c r="M87" s="70" t="s">
        <v>116</v>
      </c>
      <c r="N87" s="63">
        <f>200/N81*10/12</f>
        <v>29.7486241261342</v>
      </c>
      <c r="O87" s="63"/>
      <c r="P87" s="63"/>
      <c r="Q87" s="63"/>
      <c r="R87" s="63"/>
      <c r="S87" s="71"/>
      <c r="T87" s="124"/>
      <c r="U87" s="124"/>
      <c r="V87" s="66"/>
      <c r="W87" s="66"/>
      <c r="X87" s="66"/>
      <c r="Y87" s="66"/>
      <c r="Z87" s="66"/>
      <c r="AA87" s="67"/>
    </row>
    <row r="88" s="1" customFormat="1" spans="2:27">
      <c r="B88" s="54" t="s">
        <v>117</v>
      </c>
      <c r="C88" s="86">
        <f t="shared" ref="C88:J88" si="21">C85*C86*C87*60/1000/8</f>
        <v>0.00069</v>
      </c>
      <c r="D88" s="86">
        <f t="shared" si="21"/>
        <v>0.00345</v>
      </c>
      <c r="E88" s="86">
        <f t="shared" si="21"/>
        <v>0.0069</v>
      </c>
      <c r="F88" s="86">
        <f t="shared" si="21"/>
        <v>0.01035</v>
      </c>
      <c r="G88" s="86">
        <f t="shared" si="21"/>
        <v>0.0138</v>
      </c>
      <c r="H88" s="86">
        <f t="shared" si="21"/>
        <v>0.01725</v>
      </c>
      <c r="I88" s="86">
        <f t="shared" si="21"/>
        <v>0.0207</v>
      </c>
      <c r="J88" s="86">
        <f t="shared" si="21"/>
        <v>0.0414</v>
      </c>
      <c r="K88" s="87">
        <f>SUM(C88:J88)</f>
        <v>0.11454</v>
      </c>
      <c r="L88" s="7"/>
      <c r="M88" s="54" t="s">
        <v>51</v>
      </c>
      <c r="N88" s="57" t="s">
        <v>94</v>
      </c>
      <c r="O88" s="57" t="s">
        <v>95</v>
      </c>
      <c r="P88" s="57" t="s">
        <v>96</v>
      </c>
      <c r="Q88" s="4" t="s">
        <v>97</v>
      </c>
      <c r="R88" s="4"/>
      <c r="S88" s="58" t="s">
        <v>67</v>
      </c>
      <c r="T88" s="58" t="s">
        <v>98</v>
      </c>
      <c r="U88" s="58"/>
      <c r="V88" s="66"/>
      <c r="W88" s="66"/>
      <c r="X88" s="66"/>
      <c r="Y88" s="66"/>
      <c r="Z88" s="66"/>
      <c r="AA88" s="67"/>
    </row>
    <row r="89" s="1" customFormat="1" spans="2:27">
      <c r="B89" s="88" t="s">
        <v>33</v>
      </c>
      <c r="C89" s="86">
        <f t="shared" ref="C89:J89" si="22">C88/C92*1000</f>
        <v>0.69</v>
      </c>
      <c r="D89" s="86">
        <f t="shared" si="22"/>
        <v>3.45</v>
      </c>
      <c r="E89" s="86">
        <f t="shared" si="22"/>
        <v>6.9</v>
      </c>
      <c r="F89" s="86">
        <f t="shared" si="22"/>
        <v>5.175</v>
      </c>
      <c r="G89" s="86">
        <f t="shared" si="22"/>
        <v>6.9</v>
      </c>
      <c r="H89" s="86">
        <f t="shared" si="22"/>
        <v>8.625</v>
      </c>
      <c r="I89" s="86">
        <f t="shared" si="22"/>
        <v>6.9</v>
      </c>
      <c r="J89" s="86">
        <f t="shared" si="22"/>
        <v>6.9</v>
      </c>
      <c r="K89" s="89" cm="1">
        <f t="array" ref="K89">SUMPRODUCT(C88:J88,C82:J82)/SUMPRODUCT(C92:J92,C82:J82)*1000</f>
        <v>5.57542168674699</v>
      </c>
      <c r="L89" s="7"/>
      <c r="M89" s="54"/>
      <c r="N89" s="57"/>
      <c r="O89" s="57"/>
      <c r="P89" s="57"/>
      <c r="Q89" s="4" t="s">
        <v>99</v>
      </c>
      <c r="R89" s="4" t="s">
        <v>100</v>
      </c>
      <c r="S89" s="58"/>
      <c r="T89" s="4" t="s">
        <v>99</v>
      </c>
      <c r="U89" s="4" t="s">
        <v>100</v>
      </c>
      <c r="V89" s="66"/>
      <c r="W89" s="66"/>
      <c r="X89" s="66"/>
      <c r="Y89" s="66"/>
      <c r="Z89" s="66"/>
      <c r="AA89" s="67"/>
    </row>
    <row r="90" s="1" customFormat="1" spans="2:27">
      <c r="B90" s="59" t="s">
        <v>132</v>
      </c>
      <c r="C90" s="60"/>
      <c r="D90" s="60"/>
      <c r="E90" s="60"/>
      <c r="F90" s="60"/>
      <c r="G90" s="60"/>
      <c r="H90" s="60"/>
      <c r="I90" s="60"/>
      <c r="J90" s="60"/>
      <c r="K90" s="61"/>
      <c r="L90" s="7"/>
      <c r="M90" s="81" t="s">
        <v>119</v>
      </c>
      <c r="N90" s="82" cm="1">
        <f t="array" ref="N90">SUMPRODUCT(C82:J82,C97:J97)*30/10000</f>
        <v>4.8555</v>
      </c>
      <c r="O90" s="82" cm="1">
        <f t="array" ref="O90">SUMPRODUCT(C88:J88,C82:J82)*30/10000</f>
        <v>4.16484</v>
      </c>
      <c r="P90" s="83">
        <f>N90-O90</f>
        <v>0.69066</v>
      </c>
      <c r="Q90" s="63">
        <f>P90*0.7</f>
        <v>0.483462</v>
      </c>
      <c r="R90" s="63">
        <f>P90*0.5</f>
        <v>0.34533</v>
      </c>
      <c r="S90" s="94">
        <f>P90/N90</f>
        <v>0.14224281742354</v>
      </c>
      <c r="T90" s="64">
        <f>K106</f>
        <v>0.0995699721964782</v>
      </c>
      <c r="U90" s="64">
        <f>K109</f>
        <v>0.0711214087117702</v>
      </c>
      <c r="V90" s="66"/>
      <c r="W90" s="66"/>
      <c r="X90" s="66"/>
      <c r="Y90" s="66"/>
      <c r="Z90" s="66"/>
      <c r="AA90" s="67"/>
    </row>
    <row r="91" s="1" customFormat="1" spans="2:27">
      <c r="B91" s="59" t="s">
        <v>120</v>
      </c>
      <c r="C91" s="60"/>
      <c r="D91" s="60"/>
      <c r="E91" s="60"/>
      <c r="F91" s="60"/>
      <c r="G91" s="60"/>
      <c r="H91" s="60"/>
      <c r="I91" s="60"/>
      <c r="J91" s="60"/>
      <c r="K91" s="61"/>
      <c r="L91" s="7"/>
      <c r="M91" s="122" t="s">
        <v>104</v>
      </c>
      <c r="N91" s="123"/>
      <c r="O91" s="123"/>
      <c r="P91" s="123"/>
      <c r="Q91" s="123"/>
      <c r="R91" s="123"/>
      <c r="S91" s="123"/>
      <c r="T91" s="123"/>
      <c r="U91" s="123"/>
      <c r="V91" s="66"/>
      <c r="W91" s="66"/>
      <c r="X91" s="66"/>
      <c r="Y91" s="66"/>
      <c r="Z91" s="66"/>
      <c r="AA91" s="67"/>
    </row>
    <row r="92" s="1" customFormat="1" ht="33" spans="2:27">
      <c r="B92" s="54" t="s">
        <v>20</v>
      </c>
      <c r="C92" s="84">
        <f>MIN(1+INT(C85/5),8)</f>
        <v>1</v>
      </c>
      <c r="D92" s="84">
        <f t="shared" ref="D92:I92" si="23">1+INT(D85/15)</f>
        <v>1</v>
      </c>
      <c r="E92" s="84">
        <f t="shared" si="23"/>
        <v>1</v>
      </c>
      <c r="F92" s="84">
        <f t="shared" si="23"/>
        <v>2</v>
      </c>
      <c r="G92" s="84">
        <f t="shared" si="23"/>
        <v>2</v>
      </c>
      <c r="H92" s="84">
        <f t="shared" si="23"/>
        <v>2</v>
      </c>
      <c r="I92" s="84">
        <f t="shared" si="23"/>
        <v>3</v>
      </c>
      <c r="J92" s="84">
        <f>1+INT(30/15)+INT((J85-30)/10)</f>
        <v>6</v>
      </c>
      <c r="K92" s="55"/>
      <c r="L92" s="7"/>
      <c r="M92" s="56" t="s">
        <v>105</v>
      </c>
      <c r="N92" s="57" t="s">
        <v>106</v>
      </c>
      <c r="O92" s="57" t="s">
        <v>107</v>
      </c>
      <c r="P92" s="57" t="s">
        <v>108</v>
      </c>
      <c r="Q92" s="4" t="s">
        <v>109</v>
      </c>
      <c r="R92" s="4"/>
      <c r="S92" s="58" t="s">
        <v>110</v>
      </c>
      <c r="T92" s="58" t="s">
        <v>111</v>
      </c>
      <c r="U92" s="58"/>
      <c r="V92" s="66"/>
      <c r="W92" s="66"/>
      <c r="X92" s="66"/>
      <c r="Y92" s="66"/>
      <c r="Z92" s="66"/>
      <c r="AA92" s="67"/>
    </row>
    <row r="93" s="1" customFormat="1" spans="2:27">
      <c r="B93" s="114" t="s">
        <v>102</v>
      </c>
      <c r="C93" s="96">
        <f t="shared" ref="C93:J93" si="24">10*0.5+5*0.5</f>
        <v>7.5</v>
      </c>
      <c r="D93" s="96">
        <f t="shared" si="24"/>
        <v>7.5</v>
      </c>
      <c r="E93" s="96">
        <f t="shared" si="24"/>
        <v>7.5</v>
      </c>
      <c r="F93" s="96">
        <f t="shared" si="24"/>
        <v>7.5</v>
      </c>
      <c r="G93" s="96">
        <f t="shared" si="24"/>
        <v>7.5</v>
      </c>
      <c r="H93" s="96">
        <f t="shared" si="24"/>
        <v>7.5</v>
      </c>
      <c r="I93" s="96">
        <f t="shared" si="24"/>
        <v>7.5</v>
      </c>
      <c r="J93" s="96">
        <f t="shared" si="24"/>
        <v>7.5</v>
      </c>
      <c r="K93" s="87"/>
      <c r="L93" s="7"/>
      <c r="M93" s="56"/>
      <c r="N93" s="57"/>
      <c r="O93" s="57"/>
      <c r="P93" s="57"/>
      <c r="Q93" s="4" t="s">
        <v>99</v>
      </c>
      <c r="R93" s="4" t="s">
        <v>100</v>
      </c>
      <c r="S93" s="58"/>
      <c r="T93" s="4" t="s">
        <v>99</v>
      </c>
      <c r="U93" s="4" t="s">
        <v>100</v>
      </c>
      <c r="V93" s="66"/>
      <c r="W93" s="66"/>
      <c r="X93" s="66"/>
      <c r="Y93" s="66"/>
      <c r="Z93" s="66"/>
      <c r="AA93" s="67"/>
    </row>
    <row r="94" s="1" customFormat="1" spans="2:27">
      <c r="B94" s="54" t="s">
        <v>121</v>
      </c>
      <c r="C94" s="86">
        <f t="shared" ref="C94:J94" si="25">C93*C92/1000</f>
        <v>0.0075</v>
      </c>
      <c r="D94" s="86">
        <f t="shared" si="25"/>
        <v>0.0075</v>
      </c>
      <c r="E94" s="86">
        <f t="shared" si="25"/>
        <v>0.0075</v>
      </c>
      <c r="F94" s="86">
        <f t="shared" si="25"/>
        <v>0.015</v>
      </c>
      <c r="G94" s="86">
        <f t="shared" si="25"/>
        <v>0.015</v>
      </c>
      <c r="H94" s="86">
        <f t="shared" si="25"/>
        <v>0.015</v>
      </c>
      <c r="I94" s="86">
        <f t="shared" si="25"/>
        <v>0.0225</v>
      </c>
      <c r="J94" s="86">
        <f t="shared" si="25"/>
        <v>0.045</v>
      </c>
      <c r="K94" s="87">
        <f>SUM(C94:J94)</f>
        <v>0.135</v>
      </c>
      <c r="L94" s="7"/>
      <c r="M94" s="98" t="s">
        <v>114</v>
      </c>
      <c r="N94" s="97">
        <v>0</v>
      </c>
      <c r="O94" s="97" t="str">
        <f>"+/-"&amp;ROUND(O90*10%,1)</f>
        <v>+/-0.4</v>
      </c>
      <c r="P94" s="97" t="str">
        <f>"-/+"&amp;ROUND(O90*10%,1)</f>
        <v>-/+0.4</v>
      </c>
      <c r="Q94" s="97" t="str">
        <f>"-/+"&amp;ROUND(O90*0.1*0.7,1)</f>
        <v>-/+0.3</v>
      </c>
      <c r="R94" s="97" t="str">
        <f>"-/+"&amp;ROUND(O90*0.1*0.5,1)</f>
        <v>-/+0.2</v>
      </c>
      <c r="S94" s="85" t="str">
        <f>"-/+"&amp;ROUND((N90-O90*0.9)/N90-S90,3)*100&amp;"%"</f>
        <v>-/+8.6%</v>
      </c>
      <c r="T94" s="85" t="str">
        <f>"-/+"&amp;ROUND((N90-O90*0.9)*0.7/N90-T90,3)*100&amp;"%"</f>
        <v>-/+6%</v>
      </c>
      <c r="U94" s="85" t="str">
        <f>"-/+"&amp;ROUND((N90-O90*0.9)*0.5/N90-U90,3)*100&amp;"%"</f>
        <v>-/+4.3%</v>
      </c>
      <c r="V94" s="66"/>
      <c r="W94" s="66"/>
      <c r="X94" s="66"/>
      <c r="Y94" s="66"/>
      <c r="Z94" s="66"/>
      <c r="AA94" s="67"/>
    </row>
    <row r="95" s="1" customFormat="1" spans="2:27">
      <c r="B95" s="115" t="s">
        <v>67</v>
      </c>
      <c r="C95" s="116">
        <f t="shared" ref="C95:J95" si="26">(C94-C88)/C94</f>
        <v>0.908</v>
      </c>
      <c r="D95" s="116">
        <f t="shared" si="26"/>
        <v>0.54</v>
      </c>
      <c r="E95" s="116">
        <f t="shared" si="26"/>
        <v>0.0799999999999999</v>
      </c>
      <c r="F95" s="116">
        <f t="shared" si="26"/>
        <v>0.31</v>
      </c>
      <c r="G95" s="116">
        <f t="shared" si="26"/>
        <v>0.0799999999999999</v>
      </c>
      <c r="H95" s="116">
        <f t="shared" si="26"/>
        <v>-0.15</v>
      </c>
      <c r="I95" s="116">
        <f t="shared" si="26"/>
        <v>0.0799999999999998</v>
      </c>
      <c r="J95" s="116">
        <f t="shared" si="26"/>
        <v>0.0799999999999998</v>
      </c>
      <c r="K95" s="117" cm="1">
        <f t="array" ref="K95">(SUMPRODUCT(C82:J82,C94:J94)-SUMPRODUCT(C88:J88,C82:J82))/SUMPRODUCT(C82:J82,C94:J94)</f>
        <v>0.256610441767068</v>
      </c>
      <c r="L95" s="7"/>
      <c r="M95" s="70" t="s">
        <v>115</v>
      </c>
      <c r="N95" s="97" t="str">
        <f>"+/-"&amp;ROUND(N90*10%,1)</f>
        <v>+/-0.5</v>
      </c>
      <c r="O95" s="97">
        <v>0</v>
      </c>
      <c r="P95" s="97" t="str">
        <f>"+/-"&amp;ROUND(N90*10%,1)</f>
        <v>+/-0.5</v>
      </c>
      <c r="Q95" s="97" t="str">
        <f>"+/-"&amp;ROUND(N90*10%*0.7,1)</f>
        <v>+/-0.3</v>
      </c>
      <c r="R95" s="97" t="str">
        <f>"+/-"&amp;ROUND(N90*10%*0.5,1)</f>
        <v>+/-0.2</v>
      </c>
      <c r="S95" s="85" t="str">
        <f>"+"&amp;ROUND((N90*1.1-O90)/(N90*1.1)-S90,3)*100&amp;"%/"&amp;ROUND((N90*0.9-O90)/(N90*0.9)-S90,3)*100&amp;"%"</f>
        <v>+7.8%/-9.5%</v>
      </c>
      <c r="T95" s="85" t="str">
        <f>"+"&amp;ROUND((N90*1.1-O90)*0.7/(N90*1.1)-T90,3)*100&amp;"%/"&amp;ROUND((N90*0.9-O90)*0.7/(N90*0.9)-T90,3)*100&amp;"%"</f>
        <v>+5.5%/-6.7%</v>
      </c>
      <c r="U95" s="85" t="str">
        <f>"+"&amp;ROUND((N90*1.1-O90)*0.5/(N90*1.1)-U90,3)*100&amp;"%/"&amp;ROUND((N90*0.9-O90)*0.5/(N90*0.9)-U90,3)*100&amp;"%"</f>
        <v>+3.9%/-4.8%</v>
      </c>
      <c r="V95" s="66"/>
      <c r="W95" s="66"/>
      <c r="X95" s="66"/>
      <c r="Y95" s="66"/>
      <c r="Z95" s="66"/>
      <c r="AA95" s="67"/>
    </row>
    <row r="96" s="1" customFormat="1" spans="2:27">
      <c r="B96" s="118" t="s">
        <v>119</v>
      </c>
      <c r="C96" s="96">
        <f t="shared" ref="C96:J96" si="27">10*0.3+5*0.7</f>
        <v>6.5</v>
      </c>
      <c r="D96" s="96">
        <f t="shared" si="27"/>
        <v>6.5</v>
      </c>
      <c r="E96" s="96">
        <f t="shared" si="27"/>
        <v>6.5</v>
      </c>
      <c r="F96" s="96">
        <f t="shared" si="27"/>
        <v>6.5</v>
      </c>
      <c r="G96" s="96">
        <f t="shared" si="27"/>
        <v>6.5</v>
      </c>
      <c r="H96" s="96">
        <f t="shared" si="27"/>
        <v>6.5</v>
      </c>
      <c r="I96" s="96">
        <f t="shared" si="27"/>
        <v>6.5</v>
      </c>
      <c r="J96" s="96">
        <f t="shared" si="27"/>
        <v>6.5</v>
      </c>
      <c r="K96" s="119"/>
      <c r="L96" s="7"/>
      <c r="M96" s="70" t="s">
        <v>116</v>
      </c>
      <c r="N96" s="63">
        <f>200/N90*10/12</f>
        <v>34.3253355301548</v>
      </c>
      <c r="O96" s="63"/>
      <c r="P96" s="63"/>
      <c r="Q96" s="63"/>
      <c r="R96" s="63"/>
      <c r="S96" s="71"/>
      <c r="T96" s="124"/>
      <c r="U96" s="124"/>
      <c r="V96" s="66"/>
      <c r="W96" s="66"/>
      <c r="X96" s="66"/>
      <c r="Y96" s="66"/>
      <c r="Z96" s="66"/>
      <c r="AA96" s="67"/>
    </row>
    <row r="97" s="1" customFormat="1" spans="2:27">
      <c r="B97" s="54" t="s">
        <v>121</v>
      </c>
      <c r="C97" s="86">
        <f t="shared" ref="C97:J97" si="28">C96*C92/1000</f>
        <v>0.0065</v>
      </c>
      <c r="D97" s="86">
        <f t="shared" si="28"/>
        <v>0.0065</v>
      </c>
      <c r="E97" s="86">
        <f t="shared" si="28"/>
        <v>0.0065</v>
      </c>
      <c r="F97" s="86">
        <f t="shared" si="28"/>
        <v>0.013</v>
      </c>
      <c r="G97" s="86">
        <f t="shared" si="28"/>
        <v>0.013</v>
      </c>
      <c r="H97" s="86">
        <f t="shared" si="28"/>
        <v>0.013</v>
      </c>
      <c r="I97" s="86">
        <f t="shared" si="28"/>
        <v>0.0195</v>
      </c>
      <c r="J97" s="86">
        <f t="shared" si="28"/>
        <v>0.039</v>
      </c>
      <c r="K97" s="87">
        <f>SUM(C97:J97)</f>
        <v>0.117</v>
      </c>
      <c r="L97" s="7"/>
      <c r="M97" s="54" t="s">
        <v>51</v>
      </c>
      <c r="N97" s="57" t="s">
        <v>94</v>
      </c>
      <c r="O97" s="57" t="s">
        <v>95</v>
      </c>
      <c r="P97" s="57" t="s">
        <v>96</v>
      </c>
      <c r="Q97" s="4" t="s">
        <v>97</v>
      </c>
      <c r="R97" s="4"/>
      <c r="S97" s="58" t="s">
        <v>67</v>
      </c>
      <c r="T97" s="58" t="s">
        <v>98</v>
      </c>
      <c r="U97" s="58"/>
      <c r="V97" s="66"/>
      <c r="W97" s="66"/>
      <c r="X97" s="66"/>
      <c r="Y97" s="66"/>
      <c r="Z97" s="66"/>
      <c r="AA97" s="67"/>
    </row>
    <row r="98" s="1" customFormat="1" spans="2:27">
      <c r="B98" s="115" t="s">
        <v>67</v>
      </c>
      <c r="C98" s="116">
        <f t="shared" ref="C98:J98" si="29">(C97-C88)/C97</f>
        <v>0.893846153846154</v>
      </c>
      <c r="D98" s="116">
        <f t="shared" si="29"/>
        <v>0.469230769230769</v>
      </c>
      <c r="E98" s="116">
        <f t="shared" si="29"/>
        <v>-0.0615384615384616</v>
      </c>
      <c r="F98" s="116">
        <f t="shared" si="29"/>
        <v>0.203846153846154</v>
      </c>
      <c r="G98" s="116">
        <f t="shared" si="29"/>
        <v>-0.0615384615384616</v>
      </c>
      <c r="H98" s="116">
        <f t="shared" si="29"/>
        <v>-0.326923076923077</v>
      </c>
      <c r="I98" s="116">
        <f t="shared" si="29"/>
        <v>-0.0615384615384615</v>
      </c>
      <c r="J98" s="116">
        <f t="shared" si="29"/>
        <v>-0.0615384615384615</v>
      </c>
      <c r="K98" s="117" cm="1">
        <f t="array" ref="K98">(SUMPRODUCT(C82:J82,C97:J97)-SUMPRODUCT(C88:J88,C82:J82))/SUMPRODUCT(C82:J82,C97:J97)</f>
        <v>0.14224281742354</v>
      </c>
      <c r="L98" s="7"/>
      <c r="M98" s="54"/>
      <c r="N98" s="57"/>
      <c r="O98" s="57"/>
      <c r="P98" s="57"/>
      <c r="Q98" s="4" t="s">
        <v>99</v>
      </c>
      <c r="R98" s="4" t="s">
        <v>100</v>
      </c>
      <c r="S98" s="58"/>
      <c r="T98" s="4" t="s">
        <v>99</v>
      </c>
      <c r="U98" s="4" t="s">
        <v>100</v>
      </c>
      <c r="V98" s="66"/>
      <c r="W98" s="66"/>
      <c r="X98" s="66"/>
      <c r="Y98" s="66"/>
      <c r="Z98" s="66"/>
      <c r="AA98" s="67"/>
    </row>
    <row r="99" s="1" customFormat="1" spans="2:27">
      <c r="B99" s="118" t="s">
        <v>122</v>
      </c>
      <c r="C99" s="96">
        <v>4</v>
      </c>
      <c r="D99" s="96">
        <v>4</v>
      </c>
      <c r="E99" s="96">
        <v>4</v>
      </c>
      <c r="F99" s="96">
        <v>4</v>
      </c>
      <c r="G99" s="96">
        <v>4</v>
      </c>
      <c r="H99" s="96">
        <v>4</v>
      </c>
      <c r="I99" s="96">
        <v>4</v>
      </c>
      <c r="J99" s="96">
        <v>4</v>
      </c>
      <c r="K99" s="117"/>
      <c r="L99" s="7"/>
      <c r="M99" s="81" t="s">
        <v>122</v>
      </c>
      <c r="N99" s="82" cm="1">
        <f t="array" ref="N99">SUMPRODUCT(C82:J82,C100:J100)*30/10000</f>
        <v>2.988</v>
      </c>
      <c r="O99" s="82" cm="1">
        <f t="array" ref="O99">SUMPRODUCT(C82:J82,C88:J88)*30/10000</f>
        <v>4.16484</v>
      </c>
      <c r="P99" s="83">
        <f>N99-O99</f>
        <v>-1.17684</v>
      </c>
      <c r="Q99" s="63">
        <f>P99*0.7</f>
        <v>-0.823788</v>
      </c>
      <c r="R99" s="63">
        <f>P99*0.5</f>
        <v>-0.58842</v>
      </c>
      <c r="S99" s="94">
        <f>P99/N99</f>
        <v>-0.393855421686747</v>
      </c>
      <c r="T99" s="64"/>
      <c r="U99" s="64"/>
      <c r="V99" s="66"/>
      <c r="W99" s="66"/>
      <c r="X99" s="66"/>
      <c r="Y99" s="66"/>
      <c r="Z99" s="66"/>
      <c r="AA99" s="67"/>
    </row>
    <row r="100" s="1" customFormat="1" spans="2:27">
      <c r="B100" s="54" t="s">
        <v>121</v>
      </c>
      <c r="C100" s="86">
        <f>C99*C92/1000</f>
        <v>0.004</v>
      </c>
      <c r="D100" s="86">
        <f t="shared" ref="C100:J100" si="30">D99*D92/1000</f>
        <v>0.004</v>
      </c>
      <c r="E100" s="86">
        <f t="shared" si="30"/>
        <v>0.004</v>
      </c>
      <c r="F100" s="86">
        <f t="shared" si="30"/>
        <v>0.008</v>
      </c>
      <c r="G100" s="86">
        <f t="shared" si="30"/>
        <v>0.008</v>
      </c>
      <c r="H100" s="86">
        <f t="shared" si="30"/>
        <v>0.008</v>
      </c>
      <c r="I100" s="86">
        <f t="shared" si="30"/>
        <v>0.012</v>
      </c>
      <c r="J100" s="86">
        <f t="shared" si="30"/>
        <v>0.024</v>
      </c>
      <c r="K100" s="117"/>
      <c r="L100" s="7"/>
      <c r="M100" s="122" t="s">
        <v>104</v>
      </c>
      <c r="N100" s="123"/>
      <c r="O100" s="123"/>
      <c r="P100" s="123"/>
      <c r="Q100" s="123"/>
      <c r="R100" s="123"/>
      <c r="S100" s="123"/>
      <c r="T100" s="123"/>
      <c r="U100" s="123"/>
      <c r="V100" s="66"/>
      <c r="W100" s="66"/>
      <c r="X100" s="66"/>
      <c r="Y100" s="66"/>
      <c r="Z100" s="66"/>
      <c r="AA100" s="67"/>
    </row>
    <row r="101" s="1" customFormat="1" spans="2:27">
      <c r="B101" s="115" t="s">
        <v>67</v>
      </c>
      <c r="C101" s="116">
        <f>(C100-C88)/C100</f>
        <v>0.8275</v>
      </c>
      <c r="D101" s="116">
        <f t="shared" ref="C101:J101" si="31">(D100-D88)/D100</f>
        <v>0.1375</v>
      </c>
      <c r="E101" s="116">
        <f t="shared" si="31"/>
        <v>-0.725</v>
      </c>
      <c r="F101" s="116">
        <f t="shared" si="31"/>
        <v>-0.29375</v>
      </c>
      <c r="G101" s="116">
        <f t="shared" si="31"/>
        <v>-0.725</v>
      </c>
      <c r="H101" s="116">
        <f t="shared" si="31"/>
        <v>-1.15625</v>
      </c>
      <c r="I101" s="116">
        <f t="shared" si="31"/>
        <v>-0.725</v>
      </c>
      <c r="J101" s="116">
        <f t="shared" si="31"/>
        <v>-0.725</v>
      </c>
      <c r="K101" s="117" cm="1">
        <f t="array" ref="K101">(SUMPRODUCT(C82:J82,C100:J100)-SUMPRODUCT(C88:J88,C82:J82))/SUMPRODUCT(C82:J82,C100:J100)</f>
        <v>-0.393855421686747</v>
      </c>
      <c r="L101" s="7"/>
      <c r="M101" s="56" t="s">
        <v>105</v>
      </c>
      <c r="N101" s="57" t="s">
        <v>106</v>
      </c>
      <c r="O101" s="57" t="s">
        <v>107</v>
      </c>
      <c r="P101" s="57" t="s">
        <v>108</v>
      </c>
      <c r="Q101" s="4" t="s">
        <v>109</v>
      </c>
      <c r="R101" s="4"/>
      <c r="S101" s="58" t="s">
        <v>110</v>
      </c>
      <c r="T101" s="58" t="s">
        <v>98</v>
      </c>
      <c r="U101" s="58"/>
      <c r="V101" s="66"/>
      <c r="W101" s="66"/>
      <c r="X101" s="66"/>
      <c r="Y101" s="66"/>
      <c r="Z101" s="66"/>
      <c r="AA101" s="67"/>
    </row>
    <row r="102" s="1" customFormat="1" spans="2:27">
      <c r="B102" s="59"/>
      <c r="C102" s="60"/>
      <c r="D102" s="60"/>
      <c r="E102" s="60"/>
      <c r="F102" s="60"/>
      <c r="G102" s="60"/>
      <c r="H102" s="60"/>
      <c r="I102" s="60"/>
      <c r="J102" s="60"/>
      <c r="K102" s="61"/>
      <c r="L102" s="7"/>
      <c r="M102" s="56"/>
      <c r="N102" s="57"/>
      <c r="O102" s="57"/>
      <c r="P102" s="57"/>
      <c r="Q102" s="4" t="s">
        <v>99</v>
      </c>
      <c r="R102" s="4" t="s">
        <v>100</v>
      </c>
      <c r="S102" s="58"/>
      <c r="T102" s="4" t="s">
        <v>99</v>
      </c>
      <c r="U102" s="4" t="s">
        <v>100</v>
      </c>
      <c r="V102" s="66"/>
      <c r="W102" s="66"/>
      <c r="X102" s="66"/>
      <c r="Y102" s="66"/>
      <c r="Z102" s="66"/>
      <c r="AA102" s="67"/>
    </row>
    <row r="103" s="1" customFormat="1" spans="2:27">
      <c r="B103" s="59" t="s">
        <v>123</v>
      </c>
      <c r="C103" s="60"/>
      <c r="D103" s="60"/>
      <c r="E103" s="60"/>
      <c r="F103" s="60"/>
      <c r="G103" s="60"/>
      <c r="H103" s="60"/>
      <c r="I103" s="60"/>
      <c r="J103" s="60"/>
      <c r="K103" s="61"/>
      <c r="L103" s="7"/>
      <c r="M103" s="98" t="s">
        <v>114</v>
      </c>
      <c r="N103" s="97">
        <v>0</v>
      </c>
      <c r="O103" s="97" t="str">
        <f>"+/-"&amp;ROUND(O99*10%,1)</f>
        <v>+/-0.4</v>
      </c>
      <c r="P103" s="97" t="str">
        <f>"-/+"&amp;ROUND(O99*10%,1)</f>
        <v>-/+0.4</v>
      </c>
      <c r="Q103" s="97" t="str">
        <f>"-/+"&amp;ROUND(O99*0.1*0.7,1)</f>
        <v>-/+0.3</v>
      </c>
      <c r="R103" s="97" t="str">
        <f>"-/+"&amp;ROUND(O99*0.1*0.5,1)</f>
        <v>-/+0.2</v>
      </c>
      <c r="S103" s="85" t="str">
        <f>"-/+"&amp;ROUND((N99-O99*0.9)/N99-S99,3)*100&amp;"%"</f>
        <v>-/+13.9%</v>
      </c>
      <c r="T103" s="85"/>
      <c r="U103" s="85"/>
      <c r="V103" s="66"/>
      <c r="W103" s="66"/>
      <c r="X103" s="66"/>
      <c r="Y103" s="66"/>
      <c r="Z103" s="66"/>
      <c r="AA103" s="67"/>
    </row>
    <row r="104" s="1" customFormat="1" spans="2:27">
      <c r="B104" s="59" t="s">
        <v>124</v>
      </c>
      <c r="C104" s="60"/>
      <c r="D104" s="60"/>
      <c r="E104" s="60"/>
      <c r="F104" s="60"/>
      <c r="G104" s="60"/>
      <c r="H104" s="60"/>
      <c r="I104" s="60"/>
      <c r="J104" s="60"/>
      <c r="K104" s="61"/>
      <c r="L104" s="7"/>
      <c r="M104" s="70" t="s">
        <v>115</v>
      </c>
      <c r="N104" s="97" t="str">
        <f>"+/-"&amp;ROUND(N99*10%,1)</f>
        <v>+/-0.3</v>
      </c>
      <c r="O104" s="97">
        <v>0</v>
      </c>
      <c r="P104" s="97" t="str">
        <f>"+/-"&amp;ROUND(N99*10%,1)</f>
        <v>+/-0.3</v>
      </c>
      <c r="Q104" s="97" t="str">
        <f>"+/-"&amp;ROUND(N99*10%*0.7,1)</f>
        <v>+/-0.2</v>
      </c>
      <c r="R104" s="97" t="str">
        <f>"+/-"&amp;ROUND(N99*10%*0.5,1)</f>
        <v>+/-0.1</v>
      </c>
      <c r="S104" s="85" t="str">
        <f>"+"&amp;ROUND((N99*1.1-O99)/(N99*1.1)-S99,3)*100&amp;"%/"&amp;ROUND((N99*0.9-O99)/(N99*0.9)-S99,3)*100&amp;"%"</f>
        <v>+12.7%/-15.5%</v>
      </c>
      <c r="T104" s="85"/>
      <c r="U104" s="85"/>
      <c r="V104" s="66"/>
      <c r="W104" s="66"/>
      <c r="X104" s="66"/>
      <c r="Y104" s="66"/>
      <c r="Z104" s="66"/>
      <c r="AA104" s="67"/>
    </row>
    <row r="105" s="1" customFormat="1" spans="2:27">
      <c r="B105" s="115" t="s">
        <v>125</v>
      </c>
      <c r="C105" s="126">
        <f t="shared" ref="C105:J105" si="32">(C94-C88)*0.7/C94</f>
        <v>0.6356</v>
      </c>
      <c r="D105" s="126">
        <f t="shared" si="32"/>
        <v>0.378</v>
      </c>
      <c r="E105" s="126">
        <f t="shared" si="32"/>
        <v>0.0559999999999999</v>
      </c>
      <c r="F105" s="126">
        <f t="shared" si="32"/>
        <v>0.217</v>
      </c>
      <c r="G105" s="126">
        <f t="shared" si="32"/>
        <v>0.0559999999999999</v>
      </c>
      <c r="H105" s="126">
        <f t="shared" si="32"/>
        <v>-0.105</v>
      </c>
      <c r="I105" s="126">
        <f t="shared" si="32"/>
        <v>0.0559999999999999</v>
      </c>
      <c r="J105" s="126">
        <f t="shared" si="32"/>
        <v>0.0559999999999999</v>
      </c>
      <c r="K105" s="127" cm="1">
        <f t="array" ref="K105">(SUMPRODUCT(C82:J82,C94:J94)-SUMPRODUCT(C88:J88,C82:J82))/SUMPRODUCT(C82:J82,C94:J94)*0.7</f>
        <v>0.179627309236948</v>
      </c>
      <c r="L105" s="7"/>
      <c r="M105" s="70" t="s">
        <v>116</v>
      </c>
      <c r="N105" s="63">
        <f>200/N99*10/12</f>
        <v>55.7786702365016</v>
      </c>
      <c r="O105" s="63"/>
      <c r="P105" s="63"/>
      <c r="Q105" s="63"/>
      <c r="R105" s="63"/>
      <c r="S105" s="71"/>
      <c r="T105" s="124"/>
      <c r="U105" s="124"/>
      <c r="V105" s="66"/>
      <c r="W105" s="66"/>
      <c r="X105" s="66"/>
      <c r="Y105" s="66"/>
      <c r="Z105" s="66"/>
      <c r="AA105" s="67"/>
    </row>
    <row r="106" s="1" customFormat="1" spans="2:27">
      <c r="B106" s="115" t="s">
        <v>126</v>
      </c>
      <c r="C106" s="126">
        <f t="shared" ref="C106:J106" si="33">(C97-C88)*0.7/C97</f>
        <v>0.625692307692308</v>
      </c>
      <c r="D106" s="126">
        <f t="shared" si="33"/>
        <v>0.328461538461538</v>
      </c>
      <c r="E106" s="126">
        <f t="shared" si="33"/>
        <v>-0.0430769230769231</v>
      </c>
      <c r="F106" s="126">
        <f t="shared" si="33"/>
        <v>0.142692307692308</v>
      </c>
      <c r="G106" s="126">
        <f t="shared" si="33"/>
        <v>-0.0430769230769231</v>
      </c>
      <c r="H106" s="126">
        <f t="shared" si="33"/>
        <v>-0.228846153846154</v>
      </c>
      <c r="I106" s="126">
        <f t="shared" si="33"/>
        <v>-0.0430769230769231</v>
      </c>
      <c r="J106" s="126">
        <f t="shared" si="33"/>
        <v>-0.0430769230769231</v>
      </c>
      <c r="K106" s="127" cm="1">
        <f t="array" ref="K106">(SUMPRODUCT(C82:J82,C97:J97)-SUMPRODUCT(C88:J88,C82:J82))/SUMPRODUCT(C82:J82,C97:J97)*0.7</f>
        <v>0.0995699721964782</v>
      </c>
      <c r="L106" s="7"/>
      <c r="M106" s="54" t="s">
        <v>51</v>
      </c>
      <c r="N106" s="57" t="s">
        <v>94</v>
      </c>
      <c r="O106" s="57" t="s">
        <v>95</v>
      </c>
      <c r="P106" s="57" t="s">
        <v>96</v>
      </c>
      <c r="Q106" s="4" t="s">
        <v>97</v>
      </c>
      <c r="R106" s="4"/>
      <c r="S106" s="58" t="s">
        <v>67</v>
      </c>
      <c r="T106" s="58" t="s">
        <v>98</v>
      </c>
      <c r="U106" s="58"/>
      <c r="V106" s="66"/>
      <c r="W106" s="66"/>
      <c r="X106" s="66"/>
      <c r="Y106" s="66"/>
      <c r="Z106" s="66"/>
      <c r="AA106" s="67"/>
    </row>
    <row r="107" s="1" customFormat="1" spans="2:27">
      <c r="B107" s="59" t="s">
        <v>127</v>
      </c>
      <c r="C107" s="60"/>
      <c r="D107" s="60"/>
      <c r="E107" s="60"/>
      <c r="F107" s="60"/>
      <c r="G107" s="60"/>
      <c r="H107" s="60"/>
      <c r="I107" s="60"/>
      <c r="J107" s="60"/>
      <c r="K107" s="61"/>
      <c r="L107" s="7"/>
      <c r="M107" s="54"/>
      <c r="N107" s="57"/>
      <c r="O107" s="57"/>
      <c r="P107" s="57"/>
      <c r="Q107" s="4" t="s">
        <v>99</v>
      </c>
      <c r="R107" s="4" t="s">
        <v>100</v>
      </c>
      <c r="S107" s="58"/>
      <c r="T107" s="4" t="s">
        <v>99</v>
      </c>
      <c r="U107" s="4" t="s">
        <v>100</v>
      </c>
      <c r="V107" s="66"/>
      <c r="W107" s="66"/>
      <c r="X107" s="66"/>
      <c r="Y107" s="66"/>
      <c r="Z107" s="66"/>
      <c r="AA107" s="67"/>
    </row>
    <row r="108" s="1" customFormat="1" ht="30" spans="2:27">
      <c r="B108" s="115" t="s">
        <v>125</v>
      </c>
      <c r="C108" s="126">
        <f t="shared" ref="C108:J108" si="34">(C94-C88)*0.5/C94</f>
        <v>0.454</v>
      </c>
      <c r="D108" s="126">
        <f t="shared" si="34"/>
        <v>0.27</v>
      </c>
      <c r="E108" s="126">
        <f t="shared" si="34"/>
        <v>0.0399999999999999</v>
      </c>
      <c r="F108" s="126">
        <f t="shared" si="34"/>
        <v>0.155</v>
      </c>
      <c r="G108" s="126">
        <f t="shared" si="34"/>
        <v>0.0399999999999999</v>
      </c>
      <c r="H108" s="126">
        <f t="shared" si="34"/>
        <v>-0.0750000000000001</v>
      </c>
      <c r="I108" s="126">
        <f t="shared" si="34"/>
        <v>0.0399999999999999</v>
      </c>
      <c r="J108" s="126">
        <f t="shared" si="34"/>
        <v>0.0399999999999999</v>
      </c>
      <c r="K108" s="127" cm="1">
        <f t="array" ref="K108">(SUMPRODUCT(C82:J82,C94:J94)-SUMPRODUCT(C88:J88,C82:J82))/SUMPRODUCT(C82:J82,C94:J94)*0.5</f>
        <v>0.128305220883534</v>
      </c>
      <c r="L108" s="7"/>
      <c r="M108" s="128" t="s">
        <v>128</v>
      </c>
      <c r="N108" s="129" cm="1">
        <f t="array" ref="N108">SUMPRODUCT(C82:J82,C94:J94)*30/C93*18/10000</f>
        <v>13.446</v>
      </c>
      <c r="O108" s="129">
        <f>O81</f>
        <v>4.16484</v>
      </c>
      <c r="P108" s="129">
        <f>N108-O108</f>
        <v>9.28116</v>
      </c>
      <c r="Q108" s="129">
        <f>P108*0.7</f>
        <v>6.496812</v>
      </c>
      <c r="R108" s="129">
        <f>P108*0.5</f>
        <v>4.64058</v>
      </c>
      <c r="S108" s="94">
        <f>P108/N108</f>
        <v>0.690254350736278</v>
      </c>
      <c r="T108" s="94">
        <f>S108*0.7</f>
        <v>0.483178045515395</v>
      </c>
      <c r="U108" s="94">
        <f>S108*0.5</f>
        <v>0.345127175368139</v>
      </c>
      <c r="V108" s="66"/>
      <c r="W108" s="66"/>
      <c r="X108" s="66"/>
      <c r="Y108" s="66"/>
      <c r="Z108" s="66"/>
      <c r="AA108" s="67"/>
    </row>
    <row r="109" s="1" customFormat="1" ht="17.25" spans="2:27">
      <c r="B109" s="107" t="s">
        <v>126</v>
      </c>
      <c r="C109" s="101">
        <f t="shared" ref="C109:J109" si="35">(C97-C88)*0.5/C97</f>
        <v>0.446923076923077</v>
      </c>
      <c r="D109" s="101">
        <f t="shared" si="35"/>
        <v>0.234615384615385</v>
      </c>
      <c r="E109" s="101">
        <f t="shared" si="35"/>
        <v>-0.0307692307692308</v>
      </c>
      <c r="F109" s="101">
        <f t="shared" si="35"/>
        <v>0.101923076923077</v>
      </c>
      <c r="G109" s="101">
        <f t="shared" si="35"/>
        <v>-0.0307692307692308</v>
      </c>
      <c r="H109" s="101">
        <f t="shared" si="35"/>
        <v>-0.163461538461539</v>
      </c>
      <c r="I109" s="101">
        <f t="shared" si="35"/>
        <v>-0.0307692307692308</v>
      </c>
      <c r="J109" s="101">
        <f t="shared" si="35"/>
        <v>-0.0307692307692308</v>
      </c>
      <c r="K109" s="108" cm="1">
        <f t="array" ref="K109">(SUMPRODUCT(C82:J82,C97:J97)-SUMPRODUCT(C88:J88,C82:J82))/SUMPRODUCT(C82:J82,C97:J97)*0.5</f>
        <v>0.0711214087117702</v>
      </c>
      <c r="L109" s="7"/>
      <c r="M109" s="99" t="s">
        <v>116</v>
      </c>
      <c r="N109" s="130">
        <f>200/N108/12*10</f>
        <v>12.3952600525559</v>
      </c>
      <c r="O109" s="130"/>
      <c r="P109" s="130"/>
      <c r="Q109" s="130"/>
      <c r="R109" s="130"/>
      <c r="S109" s="130"/>
      <c r="T109" s="101"/>
      <c r="U109" s="101"/>
      <c r="V109" s="102"/>
      <c r="W109" s="102"/>
      <c r="X109" s="102"/>
      <c r="Y109" s="102"/>
      <c r="Z109" s="102"/>
      <c r="AA109" s="103"/>
    </row>
    <row r="110" s="1" customFormat="1" spans="2:27">
      <c r="B110" s="109"/>
      <c r="L110" s="7"/>
      <c r="M110" s="7"/>
      <c r="N110" s="7"/>
    </row>
    <row r="111" s="1" customFormat="1" spans="2:27">
      <c r="B111" s="109"/>
      <c r="L111" s="7"/>
      <c r="M111" s="7"/>
      <c r="N111" s="7"/>
    </row>
    <row r="112" s="1" customFormat="1" spans="2:27">
      <c r="B112" s="48" t="s">
        <v>133</v>
      </c>
      <c r="C112" s="48"/>
      <c r="D112" s="48"/>
      <c r="E112" s="48"/>
      <c r="F112" s="48"/>
      <c r="G112" s="48"/>
      <c r="H112" s="48"/>
      <c r="I112" s="48"/>
      <c r="J112" s="48"/>
      <c r="K112" s="48"/>
      <c r="L112" s="7"/>
      <c r="M112" s="7"/>
      <c r="N112" s="7"/>
    </row>
    <row r="113" s="1" customFormat="1" spans="2:27"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7"/>
      <c r="M113" s="7"/>
      <c r="N113" s="7"/>
    </row>
    <row r="114" s="1" customFormat="1" ht="17.25" spans="2:27"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7"/>
      <c r="M114" s="7"/>
      <c r="N114" s="7"/>
    </row>
    <row r="115" s="1" customFormat="1" spans="2:27">
      <c r="B115" s="120" t="s">
        <v>51</v>
      </c>
      <c r="C115" s="50" t="s">
        <v>83</v>
      </c>
      <c r="D115" s="50"/>
      <c r="E115" s="50"/>
      <c r="F115" s="50"/>
      <c r="G115" s="50"/>
      <c r="H115" s="50"/>
      <c r="I115" s="50"/>
      <c r="J115" s="50"/>
      <c r="K115" s="51"/>
      <c r="L115" s="7"/>
      <c r="M115" s="52" t="s">
        <v>51</v>
      </c>
      <c r="N115" s="53" t="s">
        <v>130</v>
      </c>
      <c r="O115" s="53"/>
      <c r="P115" s="53"/>
      <c r="Q115" s="53"/>
      <c r="R115" s="53"/>
      <c r="S115" s="53"/>
      <c r="T115" s="53"/>
      <c r="U115" s="53"/>
      <c r="V115" s="50" t="s">
        <v>85</v>
      </c>
      <c r="W115" s="50"/>
      <c r="X115" s="50"/>
      <c r="Y115" s="50"/>
      <c r="Z115" s="50"/>
      <c r="AA115" s="51"/>
    </row>
    <row r="116" s="1" customFormat="1" spans="2:27">
      <c r="B116" s="121"/>
      <c r="C116" s="110" t="s">
        <v>86</v>
      </c>
      <c r="D116" s="110" t="s">
        <v>87</v>
      </c>
      <c r="E116" s="110" t="s">
        <v>88</v>
      </c>
      <c r="F116" s="110" t="s">
        <v>89</v>
      </c>
      <c r="G116" s="110" t="s">
        <v>90</v>
      </c>
      <c r="H116" s="110" t="s">
        <v>91</v>
      </c>
      <c r="I116" s="110" t="s">
        <v>92</v>
      </c>
      <c r="J116" s="110" t="s">
        <v>93</v>
      </c>
      <c r="K116" s="111" t="s">
        <v>52</v>
      </c>
      <c r="L116" s="7"/>
      <c r="M116" s="56"/>
      <c r="N116" s="57" t="s">
        <v>94</v>
      </c>
      <c r="O116" s="57" t="s">
        <v>95</v>
      </c>
      <c r="P116" s="57" t="s">
        <v>96</v>
      </c>
      <c r="Q116" s="4" t="s">
        <v>97</v>
      </c>
      <c r="R116" s="4"/>
      <c r="S116" s="58" t="s">
        <v>67</v>
      </c>
      <c r="T116" s="58" t="s">
        <v>98</v>
      </c>
      <c r="U116" s="58"/>
      <c r="V116" s="3"/>
      <c r="W116" s="3"/>
      <c r="X116" s="3"/>
      <c r="Y116" s="3"/>
      <c r="Z116" s="3"/>
      <c r="AA116" s="55"/>
    </row>
    <row r="117" s="1" customFormat="1" spans="2:27">
      <c r="B117" s="115"/>
      <c r="C117" s="112"/>
      <c r="D117" s="112"/>
      <c r="E117" s="112"/>
      <c r="F117" s="112"/>
      <c r="G117" s="112"/>
      <c r="H117" s="112"/>
      <c r="I117" s="112"/>
      <c r="J117" s="112"/>
      <c r="K117" s="113"/>
      <c r="L117" s="7"/>
      <c r="M117" s="56"/>
      <c r="N117" s="57"/>
      <c r="O117" s="57"/>
      <c r="P117" s="57"/>
      <c r="Q117" s="4" t="s">
        <v>99</v>
      </c>
      <c r="R117" s="4" t="s">
        <v>100</v>
      </c>
      <c r="S117" s="58"/>
      <c r="T117" s="4" t="s">
        <v>99</v>
      </c>
      <c r="U117" s="4" t="s">
        <v>100</v>
      </c>
      <c r="V117" s="3"/>
      <c r="W117" s="3"/>
      <c r="X117" s="3"/>
      <c r="Y117" s="3"/>
      <c r="Z117" s="3"/>
      <c r="AA117" s="55"/>
    </row>
    <row r="118" s="1" customFormat="1" spans="2:27">
      <c r="B118" s="59" t="s">
        <v>101</v>
      </c>
      <c r="C118" s="60"/>
      <c r="D118" s="60"/>
      <c r="E118" s="60"/>
      <c r="F118" s="60"/>
      <c r="G118" s="60"/>
      <c r="H118" s="60"/>
      <c r="I118" s="60"/>
      <c r="J118" s="60"/>
      <c r="K118" s="61"/>
      <c r="L118" s="7"/>
      <c r="M118" s="62" t="s">
        <v>102</v>
      </c>
      <c r="N118" s="63" cm="1">
        <f t="array" ref="N118">SUMPRODUCT(C119:J119,C131:J131)*30/10000</f>
        <v>9.7875</v>
      </c>
      <c r="O118" s="63" cm="1">
        <f t="array" ref="O118">SUMPRODUCT(C125:J125,C119:J119)*30/10000</f>
        <v>8.8596</v>
      </c>
      <c r="P118" s="63">
        <f>N118-O118</f>
        <v>0.927899999999999</v>
      </c>
      <c r="Q118" s="63">
        <f>P118*0.7</f>
        <v>0.649529999999999</v>
      </c>
      <c r="R118" s="63">
        <f>P118*0.5</f>
        <v>0.46395</v>
      </c>
      <c r="S118" s="64">
        <f>P118/N118</f>
        <v>0.0948045977011494</v>
      </c>
      <c r="T118" s="64">
        <f>K142</f>
        <v>0.0663632183908046</v>
      </c>
      <c r="U118" s="64">
        <f>K145</f>
        <v>0.0474022988505747</v>
      </c>
      <c r="V118" s="65" t="s">
        <v>134</v>
      </c>
      <c r="W118" s="66"/>
      <c r="X118" s="66"/>
      <c r="Y118" s="66"/>
      <c r="Z118" s="66"/>
      <c r="AA118" s="67"/>
    </row>
    <row r="119" s="1" customFormat="1" spans="2:27">
      <c r="B119" s="54" t="s">
        <v>0</v>
      </c>
      <c r="C119" s="68">
        <f t="shared" ref="C119:J119" si="36">ROUND(C120*$K$46,0)</f>
        <v>5000</v>
      </c>
      <c r="D119" s="68">
        <f t="shared" si="36"/>
        <v>5000</v>
      </c>
      <c r="E119" s="68">
        <f t="shared" si="36"/>
        <v>5000</v>
      </c>
      <c r="F119" s="68">
        <f t="shared" si="36"/>
        <v>5000</v>
      </c>
      <c r="G119" s="68">
        <f t="shared" si="36"/>
        <v>5000</v>
      </c>
      <c r="H119" s="68">
        <f t="shared" si="36"/>
        <v>5000</v>
      </c>
      <c r="I119" s="68">
        <f t="shared" si="36"/>
        <v>10000</v>
      </c>
      <c r="J119" s="68">
        <f t="shared" si="36"/>
        <v>60000</v>
      </c>
      <c r="K119" s="69">
        <v>100000</v>
      </c>
      <c r="L119" s="7"/>
      <c r="M119" s="122" t="s">
        <v>104</v>
      </c>
      <c r="N119" s="123"/>
      <c r="O119" s="123"/>
      <c r="P119" s="123"/>
      <c r="Q119" s="123"/>
      <c r="R119" s="123"/>
      <c r="S119" s="123"/>
      <c r="T119" s="123"/>
      <c r="U119" s="123"/>
      <c r="V119" s="66"/>
      <c r="W119" s="66"/>
      <c r="X119" s="66"/>
      <c r="Y119" s="66"/>
      <c r="Z119" s="66"/>
      <c r="AA119" s="67"/>
    </row>
    <row r="120" s="1" customFormat="1" spans="2:27">
      <c r="B120" s="54" t="s">
        <v>16</v>
      </c>
      <c r="C120" s="72">
        <v>0.05</v>
      </c>
      <c r="D120" s="72">
        <v>0.05</v>
      </c>
      <c r="E120" s="72">
        <v>0.05</v>
      </c>
      <c r="F120" s="72">
        <v>0.05</v>
      </c>
      <c r="G120" s="72">
        <v>0.05</v>
      </c>
      <c r="H120" s="72">
        <v>0.05</v>
      </c>
      <c r="I120" s="72">
        <v>0.1</v>
      </c>
      <c r="J120" s="72">
        <v>0.6</v>
      </c>
      <c r="K120" s="73">
        <f>SUM(C120:J120)</f>
        <v>1</v>
      </c>
      <c r="L120" s="7"/>
      <c r="M120" s="56" t="s">
        <v>105</v>
      </c>
      <c r="N120" s="57" t="s">
        <v>106</v>
      </c>
      <c r="O120" s="57" t="s">
        <v>107</v>
      </c>
      <c r="P120" s="57" t="s">
        <v>108</v>
      </c>
      <c r="Q120" s="4" t="s">
        <v>109</v>
      </c>
      <c r="R120" s="4"/>
      <c r="S120" s="58" t="s">
        <v>110</v>
      </c>
      <c r="T120" s="58" t="s">
        <v>111</v>
      </c>
      <c r="U120" s="58"/>
      <c r="V120" s="66"/>
      <c r="W120" s="66"/>
      <c r="X120" s="66"/>
      <c r="Y120" s="66"/>
      <c r="Z120" s="66"/>
      <c r="AA120" s="67"/>
    </row>
    <row r="121" s="1" customFormat="1" spans="2:27">
      <c r="B121" s="59" t="s">
        <v>112</v>
      </c>
      <c r="C121" s="60"/>
      <c r="D121" s="60"/>
      <c r="E121" s="60"/>
      <c r="F121" s="60"/>
      <c r="G121" s="60"/>
      <c r="H121" s="60"/>
      <c r="I121" s="60"/>
      <c r="J121" s="60"/>
      <c r="K121" s="61"/>
      <c r="L121" s="7"/>
      <c r="M121" s="56"/>
      <c r="N121" s="57"/>
      <c r="O121" s="57"/>
      <c r="P121" s="57"/>
      <c r="Q121" s="4" t="s">
        <v>99</v>
      </c>
      <c r="R121" s="4" t="s">
        <v>100</v>
      </c>
      <c r="S121" s="58"/>
      <c r="T121" s="4" t="s">
        <v>99</v>
      </c>
      <c r="U121" s="4" t="s">
        <v>100</v>
      </c>
      <c r="V121" s="66"/>
      <c r="W121" s="66"/>
      <c r="X121" s="66"/>
      <c r="Y121" s="66"/>
      <c r="Z121" s="66"/>
      <c r="AA121" s="67"/>
    </row>
    <row r="122" s="1" customFormat="1" spans="2:27">
      <c r="B122" s="54" t="s">
        <v>113</v>
      </c>
      <c r="C122" s="80">
        <v>1</v>
      </c>
      <c r="D122" s="80">
        <v>5</v>
      </c>
      <c r="E122" s="80">
        <v>10</v>
      </c>
      <c r="F122" s="80">
        <v>15</v>
      </c>
      <c r="G122" s="80">
        <v>20</v>
      </c>
      <c r="H122" s="80">
        <v>25</v>
      </c>
      <c r="I122" s="80">
        <v>30</v>
      </c>
      <c r="J122" s="80">
        <v>60</v>
      </c>
      <c r="K122" s="55"/>
      <c r="L122" s="7"/>
      <c r="M122" s="98" t="s">
        <v>114</v>
      </c>
      <c r="N122" s="97">
        <v>0</v>
      </c>
      <c r="O122" s="97" t="str">
        <f>"+/-"&amp;ROUND(O118*10%,1)</f>
        <v>+/-0.9</v>
      </c>
      <c r="P122" s="97" t="str">
        <f>"-/+"&amp;ROUND(O118*10%,1)</f>
        <v>-/+0.9</v>
      </c>
      <c r="Q122" s="97" t="str">
        <f>"-/+"&amp;ROUND(O118*0.1*0.7,1)</f>
        <v>-/+0.6</v>
      </c>
      <c r="R122" s="97" t="str">
        <f>"-/+"&amp;ROUND(O118*0.1*0.5,1)</f>
        <v>-/+0.4</v>
      </c>
      <c r="S122" s="85" t="str">
        <f>"-/+"&amp;ROUND((N118-O118*0.9)/N118-S118,3)*100&amp;"%"</f>
        <v>-/+9.1%</v>
      </c>
      <c r="T122" s="85" t="str">
        <f>"-/+"&amp;ROUND((N118-O118*0.9)*0.7/N118-T118,3)*100&amp;"%"</f>
        <v>-/+6.3%</v>
      </c>
      <c r="U122" s="85" t="str">
        <f>"-/+"&amp;ROUND((N118-O118*0.9)*0.5/N118-U118,3)*100&amp;"%"</f>
        <v>-/+4.5%</v>
      </c>
      <c r="V122" s="66"/>
      <c r="W122" s="66"/>
      <c r="X122" s="66"/>
      <c r="Y122" s="66"/>
      <c r="Z122" s="66"/>
      <c r="AA122" s="67"/>
    </row>
    <row r="123" s="1" customFormat="1" spans="2:27">
      <c r="B123" s="54" t="s">
        <v>68</v>
      </c>
      <c r="C123" s="84">
        <v>2.3</v>
      </c>
      <c r="D123" s="84">
        <v>2.3</v>
      </c>
      <c r="E123" s="84">
        <v>2.3</v>
      </c>
      <c r="F123" s="84">
        <v>2.3</v>
      </c>
      <c r="G123" s="84">
        <v>2.3</v>
      </c>
      <c r="H123" s="84">
        <v>2.3</v>
      </c>
      <c r="I123" s="84">
        <v>2.3</v>
      </c>
      <c r="J123" s="84">
        <v>2.3</v>
      </c>
      <c r="K123" s="55"/>
      <c r="L123" s="7"/>
      <c r="M123" s="70" t="s">
        <v>115</v>
      </c>
      <c r="N123" s="97" t="str">
        <f>"+/-"&amp;ROUND(N118*10%,1)</f>
        <v>+/-1</v>
      </c>
      <c r="O123" s="97">
        <v>0</v>
      </c>
      <c r="P123" s="97" t="str">
        <f>"+/-"&amp;ROUND(N118*10%,1)</f>
        <v>+/-1</v>
      </c>
      <c r="Q123" s="97" t="str">
        <f>"+/-"&amp;ROUND(N118*10%*0.7,1)</f>
        <v>+/-0.7</v>
      </c>
      <c r="R123" s="97" t="str">
        <f>"+/-"&amp;ROUND(N118*10%*0.5,1)</f>
        <v>+/-0.5</v>
      </c>
      <c r="S123" s="85" t="str">
        <f>"+"&amp;ROUND((N118*1.1-O118)/(N118*1.1)-S118,3)*100&amp;"%/"&amp;ROUND((N118*0.9-O118)/(N118*0.9)-S118,3)*100&amp;"%"</f>
        <v>+8.2%/-10.1%</v>
      </c>
      <c r="T123" s="85" t="str">
        <f>"+"&amp;ROUND((N118*1.1-O118)*0.7/(N118*1.1)-T118,3)*100&amp;"%/"&amp;ROUND((N118*0.9-O118)*0.7/(N118*0.9)-T118,3)*100&amp;"%"</f>
        <v>+5.8%/-7%</v>
      </c>
      <c r="U123" s="85" t="str">
        <f>"+"&amp;ROUND((N118*1.1-O118)*0.5/(N118*1.1)-U118,3)*100&amp;"%/"&amp;ROUND((N118*0.9-O118)*0.5/(N118*0.9)-U118,3)*100&amp;"%"</f>
        <v>+4.1%/-5%</v>
      </c>
      <c r="V123" s="66"/>
      <c r="W123" s="66"/>
      <c r="X123" s="66"/>
      <c r="Y123" s="66"/>
      <c r="Z123" s="66"/>
      <c r="AA123" s="67"/>
    </row>
    <row r="124" s="1" customFormat="1" spans="2:27">
      <c r="B124" s="54" t="s">
        <v>80</v>
      </c>
      <c r="C124" s="84">
        <v>0.04</v>
      </c>
      <c r="D124" s="84">
        <v>0.04</v>
      </c>
      <c r="E124" s="84">
        <v>0.04</v>
      </c>
      <c r="F124" s="84">
        <v>0.04</v>
      </c>
      <c r="G124" s="84">
        <v>0.04</v>
      </c>
      <c r="H124" s="84">
        <v>0.04</v>
      </c>
      <c r="I124" s="84">
        <v>0.04</v>
      </c>
      <c r="J124" s="84">
        <v>0.04</v>
      </c>
      <c r="K124" s="55"/>
      <c r="L124" s="7"/>
      <c r="M124" s="70" t="s">
        <v>116</v>
      </c>
      <c r="N124" s="63">
        <f>200/N118*10/12</f>
        <v>17.0285227756492</v>
      </c>
      <c r="O124" s="63"/>
      <c r="P124" s="63"/>
      <c r="Q124" s="63"/>
      <c r="R124" s="63"/>
      <c r="S124" s="71"/>
      <c r="T124" s="124"/>
      <c r="U124" s="124"/>
      <c r="V124" s="66"/>
      <c r="W124" s="66"/>
      <c r="X124" s="66"/>
      <c r="Y124" s="66"/>
      <c r="Z124" s="66"/>
      <c r="AA124" s="67"/>
    </row>
    <row r="125" s="1" customFormat="1" spans="2:27">
      <c r="B125" s="54" t="s">
        <v>117</v>
      </c>
      <c r="C125" s="86">
        <f t="shared" ref="C125:J125" si="37">C122*C123*C124*60/1000/8</f>
        <v>0.00069</v>
      </c>
      <c r="D125" s="86">
        <f t="shared" si="37"/>
        <v>0.00345</v>
      </c>
      <c r="E125" s="86">
        <f t="shared" si="37"/>
        <v>0.0069</v>
      </c>
      <c r="F125" s="86">
        <f t="shared" si="37"/>
        <v>0.01035</v>
      </c>
      <c r="G125" s="86">
        <f t="shared" si="37"/>
        <v>0.0138</v>
      </c>
      <c r="H125" s="86">
        <f t="shared" si="37"/>
        <v>0.01725</v>
      </c>
      <c r="I125" s="86">
        <f t="shared" si="37"/>
        <v>0.0207</v>
      </c>
      <c r="J125" s="86">
        <f t="shared" si="37"/>
        <v>0.0414</v>
      </c>
      <c r="K125" s="87">
        <f>SUM(C125:J125)</f>
        <v>0.11454</v>
      </c>
      <c r="L125" s="7"/>
      <c r="M125" s="56" t="s">
        <v>51</v>
      </c>
      <c r="N125" s="57" t="s">
        <v>94</v>
      </c>
      <c r="O125" s="57" t="s">
        <v>95</v>
      </c>
      <c r="P125" s="57" t="s">
        <v>96</v>
      </c>
      <c r="Q125" s="4" t="s">
        <v>97</v>
      </c>
      <c r="R125" s="4"/>
      <c r="S125" s="58" t="s">
        <v>67</v>
      </c>
      <c r="T125" s="58" t="s">
        <v>98</v>
      </c>
      <c r="U125" s="58"/>
      <c r="V125" s="66"/>
      <c r="W125" s="66"/>
      <c r="X125" s="66"/>
      <c r="Y125" s="66"/>
      <c r="Z125" s="66"/>
      <c r="AA125" s="67"/>
    </row>
    <row r="126" s="1" customFormat="1" spans="2:27">
      <c r="B126" s="88" t="s">
        <v>33</v>
      </c>
      <c r="C126" s="86">
        <f t="shared" ref="C126:J126" si="38">C125/C129*1000</f>
        <v>0.69</v>
      </c>
      <c r="D126" s="86">
        <f t="shared" si="38"/>
        <v>3.45</v>
      </c>
      <c r="E126" s="86">
        <f t="shared" si="38"/>
        <v>6.9</v>
      </c>
      <c r="F126" s="86">
        <f t="shared" si="38"/>
        <v>5.175</v>
      </c>
      <c r="G126" s="86">
        <f t="shared" si="38"/>
        <v>6.9</v>
      </c>
      <c r="H126" s="86">
        <f t="shared" si="38"/>
        <v>8.625</v>
      </c>
      <c r="I126" s="86">
        <f t="shared" si="38"/>
        <v>6.9</v>
      </c>
      <c r="J126" s="86">
        <f t="shared" si="38"/>
        <v>6.9</v>
      </c>
      <c r="K126" s="89" cm="1">
        <f t="array" ref="K126">SUMPRODUCT(C125:J125,C119:J119)/SUMPRODUCT(C129:J129,C119:J119)*1000</f>
        <v>6.78896551724138</v>
      </c>
      <c r="L126" s="7"/>
      <c r="M126" s="56"/>
      <c r="N126" s="57"/>
      <c r="O126" s="57"/>
      <c r="P126" s="57"/>
      <c r="Q126" s="4" t="s">
        <v>99</v>
      </c>
      <c r="R126" s="4" t="s">
        <v>100</v>
      </c>
      <c r="S126" s="58"/>
      <c r="T126" s="4" t="s">
        <v>99</v>
      </c>
      <c r="U126" s="4" t="s">
        <v>100</v>
      </c>
      <c r="V126" s="66"/>
      <c r="W126" s="66"/>
      <c r="X126" s="66"/>
      <c r="Y126" s="66"/>
      <c r="Z126" s="66"/>
      <c r="AA126" s="67"/>
    </row>
    <row r="127" s="1" customFormat="1" spans="2:27">
      <c r="B127" s="59" t="s">
        <v>135</v>
      </c>
      <c r="C127" s="60"/>
      <c r="D127" s="60"/>
      <c r="E127" s="60"/>
      <c r="F127" s="60"/>
      <c r="G127" s="60"/>
      <c r="H127" s="60"/>
      <c r="I127" s="60"/>
      <c r="J127" s="60"/>
      <c r="K127" s="61"/>
      <c r="L127" s="7"/>
      <c r="M127" s="81" t="s">
        <v>119</v>
      </c>
      <c r="N127" s="82" cm="1">
        <f t="array" ref="N127">SUMPRODUCT(C119:J119,C134:J134)*30/10000</f>
        <v>8.4825</v>
      </c>
      <c r="O127" s="82" cm="1">
        <f t="array" ref="O127">SUMPRODUCT(C125:J125,C119:J119)*30/10000</f>
        <v>8.8596</v>
      </c>
      <c r="P127" s="83">
        <f>N127-O127</f>
        <v>-0.3771</v>
      </c>
      <c r="Q127" s="63">
        <f>P127*0.7</f>
        <v>-0.26397</v>
      </c>
      <c r="R127" s="63">
        <f>P127*0.5</f>
        <v>-0.18855</v>
      </c>
      <c r="S127" s="94">
        <f>P127/N127</f>
        <v>-0.0444562334217507</v>
      </c>
      <c r="T127" s="64"/>
      <c r="U127" s="64"/>
      <c r="V127" s="66"/>
      <c r="W127" s="66"/>
      <c r="X127" s="66"/>
      <c r="Y127" s="66"/>
      <c r="Z127" s="66"/>
      <c r="AA127" s="67"/>
    </row>
    <row r="128" s="1" customFormat="1" spans="2:27">
      <c r="B128" s="59" t="s">
        <v>120</v>
      </c>
      <c r="C128" s="60"/>
      <c r="D128" s="60"/>
      <c r="E128" s="60"/>
      <c r="F128" s="60"/>
      <c r="G128" s="60"/>
      <c r="H128" s="60"/>
      <c r="I128" s="60"/>
      <c r="J128" s="60"/>
      <c r="K128" s="61"/>
      <c r="L128" s="7"/>
      <c r="M128" s="122" t="s">
        <v>104</v>
      </c>
      <c r="N128" s="123"/>
      <c r="O128" s="123"/>
      <c r="P128" s="123"/>
      <c r="Q128" s="123"/>
      <c r="R128" s="123"/>
      <c r="S128" s="123"/>
      <c r="T128" s="123"/>
      <c r="U128" s="123"/>
      <c r="V128" s="66"/>
      <c r="W128" s="66"/>
      <c r="X128" s="66"/>
      <c r="Y128" s="66"/>
      <c r="Z128" s="66"/>
      <c r="AA128" s="67"/>
    </row>
    <row r="129" s="1" customFormat="1" spans="2:27">
      <c r="B129" s="54" t="s">
        <v>20</v>
      </c>
      <c r="C129" s="84">
        <f>MIN(1+INT(C122/5),8)</f>
        <v>1</v>
      </c>
      <c r="D129" s="84">
        <f t="shared" ref="D129:I129" si="39">1+INT(D122/15)</f>
        <v>1</v>
      </c>
      <c r="E129" s="84">
        <f t="shared" si="39"/>
        <v>1</v>
      </c>
      <c r="F129" s="84">
        <f t="shared" si="39"/>
        <v>2</v>
      </c>
      <c r="G129" s="84">
        <f t="shared" si="39"/>
        <v>2</v>
      </c>
      <c r="H129" s="84">
        <f t="shared" si="39"/>
        <v>2</v>
      </c>
      <c r="I129" s="84">
        <f t="shared" si="39"/>
        <v>3</v>
      </c>
      <c r="J129" s="84">
        <f>1+INT(30/15)+INT((J122-30)/10)</f>
        <v>6</v>
      </c>
      <c r="K129" s="55"/>
      <c r="L129" s="7"/>
      <c r="M129" s="56" t="s">
        <v>105</v>
      </c>
      <c r="N129" s="57" t="s">
        <v>106</v>
      </c>
      <c r="O129" s="57" t="s">
        <v>107</v>
      </c>
      <c r="P129" s="57" t="s">
        <v>108</v>
      </c>
      <c r="Q129" s="4" t="s">
        <v>109</v>
      </c>
      <c r="R129" s="4"/>
      <c r="S129" s="58" t="s">
        <v>110</v>
      </c>
      <c r="T129" s="58" t="s">
        <v>111</v>
      </c>
      <c r="U129" s="58"/>
      <c r="V129" s="66"/>
      <c r="W129" s="66"/>
      <c r="X129" s="66"/>
      <c r="Y129" s="66"/>
      <c r="Z129" s="66"/>
      <c r="AA129" s="67"/>
    </row>
    <row r="130" s="1" customFormat="1" spans="2:27">
      <c r="B130" s="114" t="s">
        <v>102</v>
      </c>
      <c r="C130" s="96">
        <f t="shared" ref="C130:J130" si="40">10*0.5+5*0.5</f>
        <v>7.5</v>
      </c>
      <c r="D130" s="96">
        <f t="shared" si="40"/>
        <v>7.5</v>
      </c>
      <c r="E130" s="96">
        <f t="shared" si="40"/>
        <v>7.5</v>
      </c>
      <c r="F130" s="96">
        <f t="shared" si="40"/>
        <v>7.5</v>
      </c>
      <c r="G130" s="96">
        <f t="shared" si="40"/>
        <v>7.5</v>
      </c>
      <c r="H130" s="96">
        <f t="shared" si="40"/>
        <v>7.5</v>
      </c>
      <c r="I130" s="96">
        <f t="shared" si="40"/>
        <v>7.5</v>
      </c>
      <c r="J130" s="96">
        <f t="shared" si="40"/>
        <v>7.5</v>
      </c>
      <c r="K130" s="87"/>
      <c r="L130" s="7"/>
      <c r="M130" s="56"/>
      <c r="N130" s="57"/>
      <c r="O130" s="57"/>
      <c r="P130" s="57"/>
      <c r="Q130" s="4" t="s">
        <v>99</v>
      </c>
      <c r="R130" s="4" t="s">
        <v>100</v>
      </c>
      <c r="S130" s="58"/>
      <c r="T130" s="4" t="s">
        <v>99</v>
      </c>
      <c r="U130" s="4" t="s">
        <v>100</v>
      </c>
      <c r="V130" s="66"/>
      <c r="W130" s="66"/>
      <c r="X130" s="66"/>
      <c r="Y130" s="66"/>
      <c r="Z130" s="66"/>
      <c r="AA130" s="67"/>
    </row>
    <row r="131" s="1" customFormat="1" spans="2:27">
      <c r="B131" s="54" t="s">
        <v>121</v>
      </c>
      <c r="C131" s="86">
        <f t="shared" ref="C131:J131" si="41">C130*C129/1000</f>
        <v>0.0075</v>
      </c>
      <c r="D131" s="86">
        <f t="shared" si="41"/>
        <v>0.0075</v>
      </c>
      <c r="E131" s="86">
        <f t="shared" si="41"/>
        <v>0.0075</v>
      </c>
      <c r="F131" s="86">
        <f t="shared" si="41"/>
        <v>0.015</v>
      </c>
      <c r="G131" s="86">
        <f t="shared" si="41"/>
        <v>0.015</v>
      </c>
      <c r="H131" s="86">
        <f t="shared" si="41"/>
        <v>0.015</v>
      </c>
      <c r="I131" s="86">
        <f t="shared" si="41"/>
        <v>0.0225</v>
      </c>
      <c r="J131" s="86">
        <f t="shared" si="41"/>
        <v>0.045</v>
      </c>
      <c r="K131" s="87">
        <f>SUM(C131:J131)</f>
        <v>0.135</v>
      </c>
      <c r="L131" s="7"/>
      <c r="M131" s="98" t="s">
        <v>114</v>
      </c>
      <c r="N131" s="97">
        <v>0</v>
      </c>
      <c r="O131" s="97" t="str">
        <f>"+/-"&amp;ROUND(O127*10%,1)</f>
        <v>+/-0.9</v>
      </c>
      <c r="P131" s="97" t="str">
        <f>"-/+"&amp;ROUND(O127*10%,1)</f>
        <v>-/+0.9</v>
      </c>
      <c r="Q131" s="97" t="str">
        <f>"-/+"&amp;ROUND(O127*0.1*0.7,1)</f>
        <v>-/+0.6</v>
      </c>
      <c r="R131" s="97" t="str">
        <f>"-/+"&amp;ROUND(O127*0.1*0.5,1)</f>
        <v>-/+0.4</v>
      </c>
      <c r="S131" s="85" t="str">
        <f>"-/+"&amp;ROUND((N127-O127*0.9)/N127-S127,3)*100&amp;"%"</f>
        <v>-/+10.4%</v>
      </c>
      <c r="T131" s="85"/>
      <c r="U131" s="85"/>
      <c r="V131" s="66"/>
      <c r="W131" s="66"/>
      <c r="X131" s="66"/>
      <c r="Y131" s="66"/>
      <c r="Z131" s="66"/>
      <c r="AA131" s="67"/>
    </row>
    <row r="132" s="1" customFormat="1" spans="2:27">
      <c r="B132" s="115" t="s">
        <v>67</v>
      </c>
      <c r="C132" s="116">
        <f t="shared" ref="C132:J132" si="42">(C131-C125)/C131</f>
        <v>0.908</v>
      </c>
      <c r="D132" s="116">
        <f t="shared" si="42"/>
        <v>0.54</v>
      </c>
      <c r="E132" s="116">
        <f t="shared" si="42"/>
        <v>0.0799999999999999</v>
      </c>
      <c r="F132" s="116">
        <f t="shared" si="42"/>
        <v>0.31</v>
      </c>
      <c r="G132" s="116">
        <f t="shared" si="42"/>
        <v>0.0799999999999999</v>
      </c>
      <c r="H132" s="116">
        <f t="shared" si="42"/>
        <v>-0.15</v>
      </c>
      <c r="I132" s="116">
        <f t="shared" si="42"/>
        <v>0.0799999999999998</v>
      </c>
      <c r="J132" s="116">
        <f t="shared" si="42"/>
        <v>0.0799999999999998</v>
      </c>
      <c r="K132" s="117" cm="1">
        <f t="array" ref="K132">(SUMPRODUCT(C119:J119,C131:J131)-SUMPRODUCT(C125:J125,C119:J119))/SUMPRODUCT(C119:J119,C131:J131)</f>
        <v>0.0948045977011495</v>
      </c>
      <c r="L132" s="7"/>
      <c r="M132" s="70" t="s">
        <v>115</v>
      </c>
      <c r="N132" s="97" t="str">
        <f>"+/-"&amp;ROUND(N127*10%,1)</f>
        <v>+/-0.8</v>
      </c>
      <c r="O132" s="97">
        <v>0</v>
      </c>
      <c r="P132" s="97" t="str">
        <f>"+/-"&amp;ROUND(N127*10%,1)</f>
        <v>+/-0.8</v>
      </c>
      <c r="Q132" s="97" t="str">
        <f>"+/-"&amp;ROUND(N127*10%*0.7,1)</f>
        <v>+/-0.6</v>
      </c>
      <c r="R132" s="97" t="str">
        <f>"+/-"&amp;ROUND(N127*10%*0.5,1)</f>
        <v>+/-0.4</v>
      </c>
      <c r="S132" s="85" t="str">
        <f>"+"&amp;ROUND((N127*1.1-O127)/(N127*1.1)-S127,3)*100&amp;"%/"&amp;ROUND((N127*0.9-O127)/(N127*0.9)-S127,3)*100&amp;"%"</f>
        <v>+9.5%/-11.6%</v>
      </c>
      <c r="T132" s="85"/>
      <c r="U132" s="85"/>
      <c r="V132" s="66"/>
      <c r="W132" s="66"/>
      <c r="X132" s="66"/>
      <c r="Y132" s="66"/>
      <c r="Z132" s="66"/>
      <c r="AA132" s="67"/>
    </row>
    <row r="133" s="1" customFormat="1" spans="2:27">
      <c r="B133" s="118" t="s">
        <v>119</v>
      </c>
      <c r="C133" s="96">
        <f t="shared" ref="C133:J133" si="43">10*0.3+5*0.7</f>
        <v>6.5</v>
      </c>
      <c r="D133" s="96">
        <f t="shared" si="43"/>
        <v>6.5</v>
      </c>
      <c r="E133" s="96">
        <f t="shared" si="43"/>
        <v>6.5</v>
      </c>
      <c r="F133" s="96">
        <f t="shared" si="43"/>
        <v>6.5</v>
      </c>
      <c r="G133" s="96">
        <f t="shared" si="43"/>
        <v>6.5</v>
      </c>
      <c r="H133" s="96">
        <f t="shared" si="43"/>
        <v>6.5</v>
      </c>
      <c r="I133" s="96">
        <f t="shared" si="43"/>
        <v>6.5</v>
      </c>
      <c r="J133" s="96">
        <f t="shared" si="43"/>
        <v>6.5</v>
      </c>
      <c r="K133" s="119"/>
      <c r="L133" s="7"/>
      <c r="M133" s="70" t="s">
        <v>116</v>
      </c>
      <c r="N133" s="63">
        <f>200/N127*10/12</f>
        <v>19.6482955103645</v>
      </c>
      <c r="O133" s="63"/>
      <c r="P133" s="63"/>
      <c r="Q133" s="63"/>
      <c r="R133" s="63"/>
      <c r="S133" s="71"/>
      <c r="T133" s="124"/>
      <c r="U133" s="124"/>
      <c r="V133" s="66"/>
      <c r="W133" s="66"/>
      <c r="X133" s="66"/>
      <c r="Y133" s="66"/>
      <c r="Z133" s="66"/>
      <c r="AA133" s="67"/>
    </row>
    <row r="134" s="1" customFormat="1" spans="2:27">
      <c r="B134" s="54" t="s">
        <v>121</v>
      </c>
      <c r="C134" s="86">
        <f t="shared" ref="C134:J134" si="44">C133*C129/1000</f>
        <v>0.0065</v>
      </c>
      <c r="D134" s="86">
        <f t="shared" si="44"/>
        <v>0.0065</v>
      </c>
      <c r="E134" s="86">
        <f t="shared" si="44"/>
        <v>0.0065</v>
      </c>
      <c r="F134" s="86">
        <f t="shared" si="44"/>
        <v>0.013</v>
      </c>
      <c r="G134" s="86">
        <f t="shared" si="44"/>
        <v>0.013</v>
      </c>
      <c r="H134" s="86">
        <f t="shared" si="44"/>
        <v>0.013</v>
      </c>
      <c r="I134" s="86">
        <f t="shared" si="44"/>
        <v>0.0195</v>
      </c>
      <c r="J134" s="86">
        <f t="shared" si="44"/>
        <v>0.039</v>
      </c>
      <c r="K134" s="87">
        <f>SUM(C134:J134)</f>
        <v>0.117</v>
      </c>
      <c r="L134" s="7"/>
      <c r="M134" s="54" t="s">
        <v>51</v>
      </c>
      <c r="N134" s="57" t="s">
        <v>94</v>
      </c>
      <c r="O134" s="57" t="s">
        <v>95</v>
      </c>
      <c r="P134" s="57" t="s">
        <v>96</v>
      </c>
      <c r="Q134" s="4" t="s">
        <v>97</v>
      </c>
      <c r="R134" s="4"/>
      <c r="S134" s="58" t="s">
        <v>67</v>
      </c>
      <c r="T134" s="58" t="s">
        <v>98</v>
      </c>
      <c r="U134" s="58"/>
      <c r="V134" s="66"/>
      <c r="W134" s="66"/>
      <c r="X134" s="66"/>
      <c r="Y134" s="66"/>
      <c r="Z134" s="66"/>
      <c r="AA134" s="67"/>
    </row>
    <row r="135" s="1" customFormat="1" spans="2:27">
      <c r="B135" s="115" t="s">
        <v>67</v>
      </c>
      <c r="C135" s="116">
        <f t="shared" ref="C135:J135" si="45">(C134-C125)/C134</f>
        <v>0.893846153846154</v>
      </c>
      <c r="D135" s="116">
        <f t="shared" si="45"/>
        <v>0.469230769230769</v>
      </c>
      <c r="E135" s="116">
        <f t="shared" si="45"/>
        <v>-0.0615384615384617</v>
      </c>
      <c r="F135" s="116">
        <f t="shared" si="45"/>
        <v>0.203846153846154</v>
      </c>
      <c r="G135" s="116">
        <f t="shared" si="45"/>
        <v>-0.0615384615384617</v>
      </c>
      <c r="H135" s="116">
        <f t="shared" si="45"/>
        <v>-0.326923076923077</v>
      </c>
      <c r="I135" s="116">
        <f t="shared" si="45"/>
        <v>-0.0615384615384617</v>
      </c>
      <c r="J135" s="116">
        <f t="shared" si="45"/>
        <v>-0.0615384615384617</v>
      </c>
      <c r="K135" s="117" cm="1">
        <f t="array" ref="K135">(SUMPRODUCT(C119:J119,C134:J134)-SUMPRODUCT(C125:J125,C119:J119))/SUMPRODUCT(C119:J119,C134:J134)</f>
        <v>-0.0444562334217506</v>
      </c>
      <c r="L135" s="7"/>
      <c r="M135" s="54"/>
      <c r="N135" s="57"/>
      <c r="O135" s="57"/>
      <c r="P135" s="57"/>
      <c r="Q135" s="4" t="s">
        <v>99</v>
      </c>
      <c r="R135" s="4" t="s">
        <v>100</v>
      </c>
      <c r="S135" s="58"/>
      <c r="T135" s="4" t="s">
        <v>99</v>
      </c>
      <c r="U135" s="4" t="s">
        <v>100</v>
      </c>
      <c r="V135" s="66"/>
      <c r="W135" s="66"/>
      <c r="X135" s="66"/>
      <c r="Y135" s="66"/>
      <c r="Z135" s="66"/>
      <c r="AA135" s="67"/>
    </row>
    <row r="136" s="1" customFormat="1" spans="2:27">
      <c r="B136" s="118" t="s">
        <v>122</v>
      </c>
      <c r="C136" s="96">
        <v>4</v>
      </c>
      <c r="D136" s="96">
        <v>4</v>
      </c>
      <c r="E136" s="96">
        <v>4</v>
      </c>
      <c r="F136" s="96">
        <v>4</v>
      </c>
      <c r="G136" s="96">
        <v>4</v>
      </c>
      <c r="H136" s="96">
        <v>4</v>
      </c>
      <c r="I136" s="96">
        <v>4</v>
      </c>
      <c r="J136" s="96">
        <v>4</v>
      </c>
      <c r="K136" s="117"/>
      <c r="L136" s="7"/>
      <c r="M136" s="81" t="s">
        <v>122</v>
      </c>
      <c r="N136" s="82" cm="1">
        <f t="array" ref="N136">SUMPRODUCT(C119:J119,C137:J137)*30/10000</f>
        <v>5.22</v>
      </c>
      <c r="O136" s="82" cm="1">
        <f t="array" ref="O136">SUMPRODUCT(C119:J119,C125:J125)*30/10000</f>
        <v>8.8596</v>
      </c>
      <c r="P136" s="83">
        <f>N136-O136</f>
        <v>-3.6396</v>
      </c>
      <c r="Q136" s="63">
        <f>P136*0.7</f>
        <v>-2.54772</v>
      </c>
      <c r="R136" s="63">
        <f>P136*0.5</f>
        <v>-1.8198</v>
      </c>
      <c r="S136" s="94">
        <f>P136/N136</f>
        <v>-0.697241379310345</v>
      </c>
      <c r="T136" s="64"/>
      <c r="U136" s="64"/>
      <c r="V136" s="66"/>
      <c r="W136" s="66"/>
      <c r="X136" s="66"/>
      <c r="Y136" s="66"/>
      <c r="Z136" s="66"/>
      <c r="AA136" s="67"/>
    </row>
    <row r="137" s="1" customFormat="1" spans="2:27">
      <c r="B137" s="54" t="s">
        <v>121</v>
      </c>
      <c r="C137" s="86">
        <f t="shared" ref="C137:J137" si="46">C136*C129/1000</f>
        <v>0.004</v>
      </c>
      <c r="D137" s="86">
        <f t="shared" si="46"/>
        <v>0.004</v>
      </c>
      <c r="E137" s="86">
        <f t="shared" si="46"/>
        <v>0.004</v>
      </c>
      <c r="F137" s="86">
        <f t="shared" si="46"/>
        <v>0.008</v>
      </c>
      <c r="G137" s="86">
        <f t="shared" si="46"/>
        <v>0.008</v>
      </c>
      <c r="H137" s="86">
        <f t="shared" si="46"/>
        <v>0.008</v>
      </c>
      <c r="I137" s="86">
        <f t="shared" si="46"/>
        <v>0.012</v>
      </c>
      <c r="J137" s="86">
        <f t="shared" si="46"/>
        <v>0.024</v>
      </c>
      <c r="K137" s="117"/>
      <c r="L137" s="7"/>
      <c r="M137" s="122" t="s">
        <v>104</v>
      </c>
      <c r="N137" s="123"/>
      <c r="O137" s="123"/>
      <c r="P137" s="123"/>
      <c r="Q137" s="123"/>
      <c r="R137" s="123"/>
      <c r="S137" s="123"/>
      <c r="T137" s="123"/>
      <c r="U137" s="123"/>
      <c r="V137" s="66"/>
      <c r="W137" s="66"/>
      <c r="X137" s="66"/>
      <c r="Y137" s="66"/>
      <c r="Z137" s="66"/>
      <c r="AA137" s="67"/>
    </row>
    <row r="138" s="1" customFormat="1" spans="2:27">
      <c r="B138" s="115" t="s">
        <v>67</v>
      </c>
      <c r="C138" s="116">
        <f t="shared" ref="C138:J138" si="47">(C137-C125)/C137</f>
        <v>0.8275</v>
      </c>
      <c r="D138" s="116">
        <f t="shared" si="47"/>
        <v>0.1375</v>
      </c>
      <c r="E138" s="116">
        <f t="shared" si="47"/>
        <v>-0.725</v>
      </c>
      <c r="F138" s="116">
        <f t="shared" si="47"/>
        <v>-0.29375</v>
      </c>
      <c r="G138" s="116">
        <f t="shared" si="47"/>
        <v>-0.725</v>
      </c>
      <c r="H138" s="116">
        <f t="shared" si="47"/>
        <v>-1.15625</v>
      </c>
      <c r="I138" s="116">
        <f t="shared" si="47"/>
        <v>-0.725</v>
      </c>
      <c r="J138" s="116">
        <f t="shared" si="47"/>
        <v>-0.725</v>
      </c>
      <c r="K138" s="117" cm="1">
        <f t="array" ref="K138">(SUMPRODUCT(C119:J119,C137:J137)-SUMPRODUCT(C125:J125,C119:J119))/SUMPRODUCT(C119:J119,C137:J137)</f>
        <v>-0.697241379310345</v>
      </c>
      <c r="L138" s="7"/>
      <c r="M138" s="56" t="s">
        <v>105</v>
      </c>
      <c r="N138" s="57" t="s">
        <v>106</v>
      </c>
      <c r="O138" s="57" t="s">
        <v>107</v>
      </c>
      <c r="P138" s="57" t="s">
        <v>108</v>
      </c>
      <c r="Q138" s="4" t="s">
        <v>109</v>
      </c>
      <c r="R138" s="4"/>
      <c r="S138" s="58" t="s">
        <v>110</v>
      </c>
      <c r="T138" s="58" t="s">
        <v>98</v>
      </c>
      <c r="U138" s="58"/>
      <c r="V138" s="66"/>
      <c r="W138" s="66"/>
      <c r="X138" s="66"/>
      <c r="Y138" s="66"/>
      <c r="Z138" s="66"/>
      <c r="AA138" s="67"/>
    </row>
    <row r="139" s="1" customFormat="1" spans="2:27">
      <c r="B139" s="59"/>
      <c r="C139" s="60"/>
      <c r="D139" s="60"/>
      <c r="E139" s="60"/>
      <c r="F139" s="60"/>
      <c r="G139" s="60"/>
      <c r="H139" s="60"/>
      <c r="I139" s="60"/>
      <c r="J139" s="60"/>
      <c r="K139" s="61"/>
      <c r="L139" s="7"/>
      <c r="M139" s="56"/>
      <c r="N139" s="57"/>
      <c r="O139" s="57"/>
      <c r="P139" s="57"/>
      <c r="Q139" s="4" t="s">
        <v>99</v>
      </c>
      <c r="R139" s="4" t="s">
        <v>100</v>
      </c>
      <c r="S139" s="58"/>
      <c r="T139" s="4" t="s">
        <v>99</v>
      </c>
      <c r="U139" s="4" t="s">
        <v>100</v>
      </c>
      <c r="V139" s="66"/>
      <c r="W139" s="66"/>
      <c r="X139" s="66"/>
      <c r="Y139" s="66"/>
      <c r="Z139" s="66"/>
      <c r="AA139" s="67"/>
    </row>
    <row r="140" s="1" customFormat="1" spans="2:27">
      <c r="B140" s="59" t="s">
        <v>123</v>
      </c>
      <c r="C140" s="60"/>
      <c r="D140" s="60"/>
      <c r="E140" s="60"/>
      <c r="F140" s="60"/>
      <c r="G140" s="60"/>
      <c r="H140" s="60"/>
      <c r="I140" s="60"/>
      <c r="J140" s="60"/>
      <c r="K140" s="61"/>
      <c r="L140" s="7"/>
      <c r="M140" s="98" t="s">
        <v>114</v>
      </c>
      <c r="N140" s="97">
        <v>0</v>
      </c>
      <c r="O140" s="97" t="str">
        <f>"+/-"&amp;ROUND(O136*10%,1)</f>
        <v>+/-0.9</v>
      </c>
      <c r="P140" s="97" t="str">
        <f>"-/+"&amp;ROUND(O136*10%,1)</f>
        <v>-/+0.9</v>
      </c>
      <c r="Q140" s="97" t="str">
        <f>"-/+"&amp;ROUND(O136*0.1*0.7,1)</f>
        <v>-/+0.6</v>
      </c>
      <c r="R140" s="97" t="str">
        <f>"-/+"&amp;ROUND(O136*0.1*0.5,1)</f>
        <v>-/+0.4</v>
      </c>
      <c r="S140" s="85" t="str">
        <f>"-/+"&amp;ROUND((N136-O136*0.9)/N136-S136,3)*100&amp;"%"</f>
        <v>-/+17%</v>
      </c>
      <c r="T140" s="85"/>
      <c r="U140" s="85"/>
      <c r="V140" s="66"/>
      <c r="W140" s="66"/>
      <c r="X140" s="66"/>
      <c r="Y140" s="66"/>
      <c r="Z140" s="66"/>
      <c r="AA140" s="67"/>
    </row>
    <row r="141" s="1" customFormat="1" spans="2:27">
      <c r="B141" s="59" t="s">
        <v>124</v>
      </c>
      <c r="C141" s="60"/>
      <c r="D141" s="60"/>
      <c r="E141" s="60"/>
      <c r="F141" s="60"/>
      <c r="G141" s="60"/>
      <c r="H141" s="60"/>
      <c r="I141" s="60"/>
      <c r="J141" s="60"/>
      <c r="K141" s="61"/>
      <c r="L141" s="7"/>
      <c r="M141" s="70" t="s">
        <v>115</v>
      </c>
      <c r="N141" s="97" t="str">
        <f>"+/-"&amp;ROUND(N136*10%,1)</f>
        <v>+/-0.5</v>
      </c>
      <c r="O141" s="97">
        <v>0</v>
      </c>
      <c r="P141" s="97" t="str">
        <f>"+/-"&amp;ROUND(N136*10%,1)</f>
        <v>+/-0.5</v>
      </c>
      <c r="Q141" s="97" t="str">
        <f>"+/-"&amp;ROUND(N136*10%*0.7,1)</f>
        <v>+/-0.4</v>
      </c>
      <c r="R141" s="97" t="str">
        <f>"+/-"&amp;ROUND(N136*10%*0.5,1)</f>
        <v>+/-0.3</v>
      </c>
      <c r="S141" s="85" t="str">
        <f>"+"&amp;ROUND((N136*1.1-O136)/(N136*1.1)-S136,3)*100&amp;"%/"&amp;ROUND((N136*0.9-O136)/(N136*0.9)-S136,3)*100&amp;"%"</f>
        <v>+15.4%/-18.9%</v>
      </c>
      <c r="T141" s="85"/>
      <c r="U141" s="85"/>
      <c r="V141" s="66"/>
      <c r="W141" s="66"/>
      <c r="X141" s="66"/>
      <c r="Y141" s="66"/>
      <c r="Z141" s="66"/>
      <c r="AA141" s="67"/>
    </row>
    <row r="142" s="1" customFormat="1" spans="2:27">
      <c r="B142" s="115" t="s">
        <v>125</v>
      </c>
      <c r="C142" s="126">
        <f t="shared" ref="C142:J142" si="48">(C131-C125)*0.7/C131</f>
        <v>0.6356</v>
      </c>
      <c r="D142" s="126">
        <f t="shared" si="48"/>
        <v>0.378</v>
      </c>
      <c r="E142" s="126">
        <f t="shared" si="48"/>
        <v>0.0559999999999999</v>
      </c>
      <c r="F142" s="126">
        <f t="shared" si="48"/>
        <v>0.217</v>
      </c>
      <c r="G142" s="126">
        <f t="shared" si="48"/>
        <v>0.0559999999999999</v>
      </c>
      <c r="H142" s="126">
        <f t="shared" si="48"/>
        <v>-0.105</v>
      </c>
      <c r="I142" s="126">
        <f t="shared" si="48"/>
        <v>0.0559999999999999</v>
      </c>
      <c r="J142" s="126">
        <f t="shared" si="48"/>
        <v>0.0559999999999999</v>
      </c>
      <c r="K142" s="127" cm="1">
        <f t="array" ref="K142">(SUMPRODUCT(C119:J119,C131:J131)-SUMPRODUCT(C125:J125,C119:J119))/SUMPRODUCT(C119:J119,C131:J131)*0.7</f>
        <v>0.0663632183908046</v>
      </c>
      <c r="L142" s="7"/>
      <c r="M142" s="70" t="s">
        <v>116</v>
      </c>
      <c r="N142" s="63">
        <f>200/N136*10/12</f>
        <v>31.9284802043423</v>
      </c>
      <c r="O142" s="63"/>
      <c r="P142" s="63"/>
      <c r="Q142" s="63"/>
      <c r="R142" s="63"/>
      <c r="S142" s="71"/>
      <c r="T142" s="124"/>
      <c r="U142" s="124"/>
      <c r="V142" s="66"/>
      <c r="W142" s="66"/>
      <c r="X142" s="66"/>
      <c r="Y142" s="66"/>
      <c r="Z142" s="66"/>
      <c r="AA142" s="67"/>
    </row>
    <row r="143" s="1" customFormat="1" spans="2:27">
      <c r="B143" s="115" t="s">
        <v>126</v>
      </c>
      <c r="C143" s="126">
        <f t="shared" ref="C143:J143" si="49">(C134-C125)*0.7/C134</f>
        <v>0.625692307692308</v>
      </c>
      <c r="D143" s="126">
        <f t="shared" si="49"/>
        <v>0.328461538461538</v>
      </c>
      <c r="E143" s="126">
        <f t="shared" si="49"/>
        <v>-0.0430769230769232</v>
      </c>
      <c r="F143" s="126">
        <f t="shared" si="49"/>
        <v>0.142692307692308</v>
      </c>
      <c r="G143" s="126">
        <f t="shared" si="49"/>
        <v>-0.0430769230769232</v>
      </c>
      <c r="H143" s="126">
        <f t="shared" si="49"/>
        <v>-0.228846153846154</v>
      </c>
      <c r="I143" s="126">
        <f t="shared" si="49"/>
        <v>-0.0430769230769232</v>
      </c>
      <c r="J143" s="126">
        <f t="shared" si="49"/>
        <v>-0.0430769230769232</v>
      </c>
      <c r="K143" s="127" cm="1">
        <f t="array" ref="K143">(SUMPRODUCT(C119:J119,C134:J134)-SUMPRODUCT(C125:J125,C119:J119))/SUMPRODUCT(C119:J119,C134:J134)*0.7</f>
        <v>-0.0311193633952254</v>
      </c>
      <c r="L143" s="7"/>
      <c r="M143" s="54" t="s">
        <v>51</v>
      </c>
      <c r="N143" s="57" t="s">
        <v>94</v>
      </c>
      <c r="O143" s="57" t="s">
        <v>95</v>
      </c>
      <c r="P143" s="57" t="s">
        <v>96</v>
      </c>
      <c r="Q143" s="4" t="s">
        <v>97</v>
      </c>
      <c r="R143" s="4"/>
      <c r="S143" s="58" t="s">
        <v>67</v>
      </c>
      <c r="T143" s="58" t="s">
        <v>98</v>
      </c>
      <c r="U143" s="58"/>
      <c r="V143" s="66"/>
      <c r="W143" s="66"/>
      <c r="X143" s="66"/>
      <c r="Y143" s="66"/>
      <c r="Z143" s="66"/>
      <c r="AA143" s="67"/>
    </row>
    <row r="144" s="1" customFormat="1" spans="2:27">
      <c r="B144" s="59" t="s">
        <v>127</v>
      </c>
      <c r="C144" s="60"/>
      <c r="D144" s="60"/>
      <c r="E144" s="60"/>
      <c r="F144" s="60"/>
      <c r="G144" s="60"/>
      <c r="H144" s="60"/>
      <c r="I144" s="60"/>
      <c r="J144" s="60"/>
      <c r="K144" s="61"/>
      <c r="L144" s="7"/>
      <c r="M144" s="54"/>
      <c r="N144" s="57"/>
      <c r="O144" s="57"/>
      <c r="P144" s="57"/>
      <c r="Q144" s="4" t="s">
        <v>99</v>
      </c>
      <c r="R144" s="4" t="s">
        <v>100</v>
      </c>
      <c r="S144" s="58"/>
      <c r="T144" s="4" t="s">
        <v>99</v>
      </c>
      <c r="U144" s="4" t="s">
        <v>100</v>
      </c>
      <c r="V144" s="66"/>
      <c r="W144" s="66"/>
      <c r="X144" s="66"/>
      <c r="Y144" s="66"/>
      <c r="Z144" s="66"/>
      <c r="AA144" s="67"/>
    </row>
    <row r="145" s="1" customFormat="1" ht="30" spans="2:27">
      <c r="B145" s="115" t="s">
        <v>125</v>
      </c>
      <c r="C145" s="126">
        <f t="shared" ref="C145:J145" si="50">(C131-C125)*0.5/C131</f>
        <v>0.454</v>
      </c>
      <c r="D145" s="126">
        <f t="shared" si="50"/>
        <v>0.27</v>
      </c>
      <c r="E145" s="126">
        <f t="shared" si="50"/>
        <v>0.0399999999999999</v>
      </c>
      <c r="F145" s="126">
        <f t="shared" si="50"/>
        <v>0.155</v>
      </c>
      <c r="G145" s="126">
        <f t="shared" si="50"/>
        <v>0.0399999999999999</v>
      </c>
      <c r="H145" s="126">
        <f t="shared" si="50"/>
        <v>-0.0750000000000001</v>
      </c>
      <c r="I145" s="126">
        <f t="shared" si="50"/>
        <v>0.0399999999999999</v>
      </c>
      <c r="J145" s="126">
        <f t="shared" si="50"/>
        <v>0.0399999999999999</v>
      </c>
      <c r="K145" s="127" cm="1">
        <f t="array" ref="K145">(SUMPRODUCT(C119:J119,C131:J131)-SUMPRODUCT(C125:J125,C119:J119))/SUMPRODUCT(C119:J119,C131:J131)*0.5</f>
        <v>0.0474022988505747</v>
      </c>
      <c r="L145" s="7"/>
      <c r="M145" s="128" t="s">
        <v>128</v>
      </c>
      <c r="N145" s="129" cm="1">
        <f t="array" ref="N145">SUMPRODUCT(C119:J119,C131:J131)*30/C130*18/10000</f>
        <v>23.49</v>
      </c>
      <c r="O145" s="129">
        <f>O118</f>
        <v>8.8596</v>
      </c>
      <c r="P145" s="129">
        <f>N145-O145</f>
        <v>14.6304</v>
      </c>
      <c r="Q145" s="129">
        <f>P145*0.7</f>
        <v>10.24128</v>
      </c>
      <c r="R145" s="129">
        <f>P145*0.5</f>
        <v>7.3152</v>
      </c>
      <c r="S145" s="94">
        <f>P145/N145</f>
        <v>0.622835249042146</v>
      </c>
      <c r="T145" s="94">
        <f>S145*0.7</f>
        <v>0.435984674329502</v>
      </c>
      <c r="U145" s="94">
        <f>S145*0.5</f>
        <v>0.311417624521073</v>
      </c>
      <c r="V145" s="66"/>
      <c r="W145" s="66"/>
      <c r="X145" s="66"/>
      <c r="Y145" s="66"/>
      <c r="Z145" s="66"/>
      <c r="AA145" s="67"/>
    </row>
    <row r="146" s="1" customFormat="1" ht="17.25" spans="2:27">
      <c r="B146" s="107" t="s">
        <v>126</v>
      </c>
      <c r="C146" s="101">
        <f t="shared" ref="C146:J146" si="51">(C134-C125)*0.5/C134</f>
        <v>0.446923076923077</v>
      </c>
      <c r="D146" s="101">
        <f t="shared" si="51"/>
        <v>0.234615384615385</v>
      </c>
      <c r="E146" s="101">
        <f t="shared" si="51"/>
        <v>-0.0307692307692309</v>
      </c>
      <c r="F146" s="101">
        <f t="shared" si="51"/>
        <v>0.101923076923077</v>
      </c>
      <c r="G146" s="101">
        <f t="shared" si="51"/>
        <v>-0.0307692307692309</v>
      </c>
      <c r="H146" s="101">
        <f t="shared" si="51"/>
        <v>-0.163461538461539</v>
      </c>
      <c r="I146" s="101">
        <f t="shared" si="51"/>
        <v>-0.0307692307692309</v>
      </c>
      <c r="J146" s="101">
        <f t="shared" si="51"/>
        <v>-0.0307692307692309</v>
      </c>
      <c r="K146" s="108" cm="1">
        <f t="array" ref="K146">(SUMPRODUCT(C119:J119,C134:J134)-SUMPRODUCT(C125:J125,C119:J119))/SUMPRODUCT(C119:J119,C134:J134)*0.5</f>
        <v>-0.0222281167108753</v>
      </c>
      <c r="L146" s="7"/>
      <c r="M146" s="99" t="s">
        <v>116</v>
      </c>
      <c r="N146" s="130">
        <f>200/N145/12*10</f>
        <v>7.09521782318717</v>
      </c>
      <c r="O146" s="130"/>
      <c r="P146" s="130"/>
      <c r="Q146" s="130"/>
      <c r="R146" s="130"/>
      <c r="S146" s="130"/>
      <c r="T146" s="101"/>
      <c r="U146" s="101"/>
      <c r="V146" s="102"/>
      <c r="W146" s="102"/>
      <c r="X146" s="102"/>
      <c r="Y146" s="102"/>
      <c r="Z146" s="102"/>
      <c r="AA146" s="103"/>
    </row>
    <row r="147" s="1" customFormat="1" spans="2:27">
      <c r="B147" s="109"/>
      <c r="C147" s="1"/>
      <c r="D147" s="1"/>
      <c r="E147" s="1"/>
      <c r="F147" s="1"/>
      <c r="G147" s="1"/>
      <c r="H147" s="1"/>
      <c r="I147" s="1"/>
      <c r="J147" s="1"/>
      <c r="K147" s="1"/>
      <c r="L147" s="7"/>
      <c r="M147" s="7"/>
      <c r="N147" s="7"/>
    </row>
  </sheetData>
  <mergeCells count="297">
    <mergeCell ref="B22:K22"/>
    <mergeCell ref="E23:H23"/>
    <mergeCell ref="I23:J23"/>
    <mergeCell ref="K23:M23"/>
    <mergeCell ref="E24:F24"/>
    <mergeCell ref="G24:H24"/>
    <mergeCell ref="I24:J24"/>
    <mergeCell ref="K24:M24"/>
    <mergeCell ref="B25:D25"/>
    <mergeCell ref="E25:F25"/>
    <mergeCell ref="G25:H25"/>
    <mergeCell ref="I25:J25"/>
    <mergeCell ref="K25:M25"/>
    <mergeCell ref="C26:D26"/>
    <mergeCell ref="E26:F26"/>
    <mergeCell ref="G26:H26"/>
    <mergeCell ref="I26:J26"/>
    <mergeCell ref="K26:M26"/>
    <mergeCell ref="C27:D27"/>
    <mergeCell ref="E27:F27"/>
    <mergeCell ref="G27:H27"/>
    <mergeCell ref="I27:J27"/>
    <mergeCell ref="K27:M27"/>
    <mergeCell ref="C28:D28"/>
    <mergeCell ref="E28:F28"/>
    <mergeCell ref="G28:H28"/>
    <mergeCell ref="I28:J28"/>
    <mergeCell ref="K28:M28"/>
    <mergeCell ref="C29:D29"/>
    <mergeCell ref="E29:F29"/>
    <mergeCell ref="G29:H29"/>
    <mergeCell ref="I29:J29"/>
    <mergeCell ref="K29:M29"/>
    <mergeCell ref="C30:D30"/>
    <mergeCell ref="E30:F30"/>
    <mergeCell ref="G30:H30"/>
    <mergeCell ref="I30:J30"/>
    <mergeCell ref="K30:M30"/>
    <mergeCell ref="C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C33:D33"/>
    <mergeCell ref="E33:F33"/>
    <mergeCell ref="G33:H33"/>
    <mergeCell ref="I33:J33"/>
    <mergeCell ref="K33:M33"/>
    <mergeCell ref="C34:D34"/>
    <mergeCell ref="E34:F34"/>
    <mergeCell ref="G34:H34"/>
    <mergeCell ref="I34:J34"/>
    <mergeCell ref="K34:M34"/>
    <mergeCell ref="C35:D35"/>
    <mergeCell ref="E35:F35"/>
    <mergeCell ref="G35:H35"/>
    <mergeCell ref="I35:J35"/>
    <mergeCell ref="K35:M35"/>
    <mergeCell ref="C36:D36"/>
    <mergeCell ref="E36:F36"/>
    <mergeCell ref="G36:H36"/>
    <mergeCell ref="I36:J36"/>
    <mergeCell ref="K36:M36"/>
    <mergeCell ref="C37:D37"/>
    <mergeCell ref="E37:F37"/>
    <mergeCell ref="G37:H37"/>
    <mergeCell ref="I37:J37"/>
    <mergeCell ref="K37:M37"/>
    <mergeCell ref="C42:K42"/>
    <mergeCell ref="N42:U42"/>
    <mergeCell ref="Q43:R43"/>
    <mergeCell ref="T43:U43"/>
    <mergeCell ref="B45:K45"/>
    <mergeCell ref="M46:U46"/>
    <mergeCell ref="Q47:R47"/>
    <mergeCell ref="T47:U47"/>
    <mergeCell ref="B48:K48"/>
    <mergeCell ref="Q52:R52"/>
    <mergeCell ref="T52:U52"/>
    <mergeCell ref="B54:K54"/>
    <mergeCell ref="B55:K55"/>
    <mergeCell ref="M55:U55"/>
    <mergeCell ref="Q56:R56"/>
    <mergeCell ref="T56:U56"/>
    <mergeCell ref="Q61:R61"/>
    <mergeCell ref="T61:U61"/>
    <mergeCell ref="M64:U64"/>
    <mergeCell ref="Q65:R65"/>
    <mergeCell ref="T65:U65"/>
    <mergeCell ref="B66:K66"/>
    <mergeCell ref="B67:K67"/>
    <mergeCell ref="B68:K68"/>
    <mergeCell ref="Q70:R70"/>
    <mergeCell ref="T70:U70"/>
    <mergeCell ref="B71:K71"/>
    <mergeCell ref="C78:K78"/>
    <mergeCell ref="N78:U78"/>
    <mergeCell ref="Q79:R79"/>
    <mergeCell ref="T79:U79"/>
    <mergeCell ref="B81:K81"/>
    <mergeCell ref="M82:U82"/>
    <mergeCell ref="Q83:R83"/>
    <mergeCell ref="T83:U83"/>
    <mergeCell ref="B84:K84"/>
    <mergeCell ref="Q88:R88"/>
    <mergeCell ref="T88:U88"/>
    <mergeCell ref="B90:K90"/>
    <mergeCell ref="B91:K91"/>
    <mergeCell ref="M91:U91"/>
    <mergeCell ref="Q92:R92"/>
    <mergeCell ref="T92:U92"/>
    <mergeCell ref="Q97:R97"/>
    <mergeCell ref="T97:U97"/>
    <mergeCell ref="M100:U100"/>
    <mergeCell ref="Q101:R101"/>
    <mergeCell ref="T101:U101"/>
    <mergeCell ref="B102:K102"/>
    <mergeCell ref="B103:K103"/>
    <mergeCell ref="B104:K104"/>
    <mergeCell ref="Q106:R106"/>
    <mergeCell ref="T106:U106"/>
    <mergeCell ref="B107:K107"/>
    <mergeCell ref="C115:K115"/>
    <mergeCell ref="N115:U115"/>
    <mergeCell ref="Q116:R116"/>
    <mergeCell ref="T116:U116"/>
    <mergeCell ref="B118:K118"/>
    <mergeCell ref="M119:U119"/>
    <mergeCell ref="Q120:R120"/>
    <mergeCell ref="T120:U120"/>
    <mergeCell ref="B121:K121"/>
    <mergeCell ref="Q125:R125"/>
    <mergeCell ref="T125:U125"/>
    <mergeCell ref="B127:K127"/>
    <mergeCell ref="B128:K128"/>
    <mergeCell ref="M128:U128"/>
    <mergeCell ref="Q129:R129"/>
    <mergeCell ref="T129:U129"/>
    <mergeCell ref="Q134:R134"/>
    <mergeCell ref="T134:U134"/>
    <mergeCell ref="M137:U137"/>
    <mergeCell ref="Q138:R138"/>
    <mergeCell ref="T138:U138"/>
    <mergeCell ref="B139:K139"/>
    <mergeCell ref="B140:K140"/>
    <mergeCell ref="B141:K141"/>
    <mergeCell ref="Q143:R143"/>
    <mergeCell ref="T143:U143"/>
    <mergeCell ref="B144:K144"/>
    <mergeCell ref="B23:B24"/>
    <mergeCell ref="B42:B44"/>
    <mergeCell ref="B78:B80"/>
    <mergeCell ref="B115:B117"/>
    <mergeCell ref="C43:C44"/>
    <mergeCell ref="C79:C80"/>
    <mergeCell ref="C116:C117"/>
    <mergeCell ref="D43:D44"/>
    <mergeCell ref="D79:D80"/>
    <mergeCell ref="D116:D117"/>
    <mergeCell ref="E43:E44"/>
    <mergeCell ref="E79:E80"/>
    <mergeCell ref="E116:E117"/>
    <mergeCell ref="F43:F44"/>
    <mergeCell ref="F79:F80"/>
    <mergeCell ref="F116:F117"/>
    <mergeCell ref="G43:G44"/>
    <mergeCell ref="G79:G80"/>
    <mergeCell ref="G116:G117"/>
    <mergeCell ref="H43:H44"/>
    <mergeCell ref="H79:H80"/>
    <mergeCell ref="H116:H117"/>
    <mergeCell ref="I43:I44"/>
    <mergeCell ref="I79:I80"/>
    <mergeCell ref="I116:I117"/>
    <mergeCell ref="J43:J44"/>
    <mergeCell ref="J79:J80"/>
    <mergeCell ref="J116:J117"/>
    <mergeCell ref="K43:K44"/>
    <mergeCell ref="K79:K80"/>
    <mergeCell ref="K116:K117"/>
    <mergeCell ref="M42:M44"/>
    <mergeCell ref="M47:M48"/>
    <mergeCell ref="M52:M53"/>
    <mergeCell ref="M56:M57"/>
    <mergeCell ref="M61:M62"/>
    <mergeCell ref="M65:M66"/>
    <mergeCell ref="M70:M71"/>
    <mergeCell ref="M78:M80"/>
    <mergeCell ref="M83:M84"/>
    <mergeCell ref="M88:M89"/>
    <mergeCell ref="M97:M98"/>
    <mergeCell ref="M101:M102"/>
    <mergeCell ref="M106:M107"/>
    <mergeCell ref="M115:M117"/>
    <mergeCell ref="M120:M121"/>
    <mergeCell ref="M125:M126"/>
    <mergeCell ref="M129:M130"/>
    <mergeCell ref="M134:M135"/>
    <mergeCell ref="M138:M139"/>
    <mergeCell ref="M143:M144"/>
    <mergeCell ref="N43:N44"/>
    <mergeCell ref="N47:N48"/>
    <mergeCell ref="N52:N53"/>
    <mergeCell ref="N56:N57"/>
    <mergeCell ref="N61:N62"/>
    <mergeCell ref="N65:N66"/>
    <mergeCell ref="N70:N71"/>
    <mergeCell ref="N79:N80"/>
    <mergeCell ref="N83:N84"/>
    <mergeCell ref="N88:N89"/>
    <mergeCell ref="N97:N98"/>
    <mergeCell ref="N101:N102"/>
    <mergeCell ref="N106:N107"/>
    <mergeCell ref="N116:N117"/>
    <mergeCell ref="N120:N121"/>
    <mergeCell ref="N125:N126"/>
    <mergeCell ref="N129:N130"/>
    <mergeCell ref="N134:N135"/>
    <mergeCell ref="N138:N139"/>
    <mergeCell ref="N143:N144"/>
    <mergeCell ref="O43:O44"/>
    <mergeCell ref="O47:O48"/>
    <mergeCell ref="O52:O53"/>
    <mergeCell ref="O56:O57"/>
    <mergeCell ref="O61:O62"/>
    <mergeCell ref="O65:O66"/>
    <mergeCell ref="O70:O71"/>
    <mergeCell ref="O79:O80"/>
    <mergeCell ref="O83:O84"/>
    <mergeCell ref="O88:O89"/>
    <mergeCell ref="O97:O98"/>
    <mergeCell ref="O101:O102"/>
    <mergeCell ref="O106:O107"/>
    <mergeCell ref="O116:O117"/>
    <mergeCell ref="O120:O121"/>
    <mergeCell ref="O125:O126"/>
    <mergeCell ref="O129:O130"/>
    <mergeCell ref="O134:O135"/>
    <mergeCell ref="O138:O139"/>
    <mergeCell ref="O143:O144"/>
    <mergeCell ref="P43:P44"/>
    <mergeCell ref="P47:P48"/>
    <mergeCell ref="P52:P53"/>
    <mergeCell ref="P56:P57"/>
    <mergeCell ref="P61:P62"/>
    <mergeCell ref="P65:P66"/>
    <mergeCell ref="P70:P71"/>
    <mergeCell ref="P79:P80"/>
    <mergeCell ref="P83:P84"/>
    <mergeCell ref="P88:P89"/>
    <mergeCell ref="P97:P98"/>
    <mergeCell ref="P101:P102"/>
    <mergeCell ref="P106:P107"/>
    <mergeCell ref="P116:P117"/>
    <mergeCell ref="P120:P121"/>
    <mergeCell ref="P125:P126"/>
    <mergeCell ref="P129:P130"/>
    <mergeCell ref="P134:P135"/>
    <mergeCell ref="P138:P139"/>
    <mergeCell ref="P143:P144"/>
    <mergeCell ref="S43:S44"/>
    <mergeCell ref="S47:S48"/>
    <mergeCell ref="S52:S53"/>
    <mergeCell ref="S56:S57"/>
    <mergeCell ref="S61:S62"/>
    <mergeCell ref="S65:S66"/>
    <mergeCell ref="S70:S71"/>
    <mergeCell ref="S79:S80"/>
    <mergeCell ref="S83:S84"/>
    <mergeCell ref="S88:S89"/>
    <mergeCell ref="S97:S98"/>
    <mergeCell ref="S101:S102"/>
    <mergeCell ref="S106:S107"/>
    <mergeCell ref="S116:S117"/>
    <mergeCell ref="S120:S121"/>
    <mergeCell ref="S125:S126"/>
    <mergeCell ref="S129:S130"/>
    <mergeCell ref="S134:S135"/>
    <mergeCell ref="S138:S139"/>
    <mergeCell ref="S143:S144"/>
    <mergeCell ref="B2:K10"/>
    <mergeCell ref="B12:K20"/>
    <mergeCell ref="C23:D24"/>
    <mergeCell ref="B39:K41"/>
    <mergeCell ref="V42:AA44"/>
    <mergeCell ref="V45:AA73"/>
    <mergeCell ref="B75:K77"/>
    <mergeCell ref="V78:AA80"/>
    <mergeCell ref="B112:K114"/>
    <mergeCell ref="V115:AA117"/>
    <mergeCell ref="V81:AA109"/>
    <mergeCell ref="V118:AA14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92D050"/>
  </sheetPr>
  <dimension ref="B1:Y121"/>
  <sheetViews>
    <sheetView topLeftCell="A16" workbookViewId="0">
      <selection activeCell="M38" sqref="M38"/>
    </sheetView>
  </sheetViews>
  <sheetFormatPr defaultColWidth="9" defaultRowHeight="16.5"/>
  <cols>
    <col min="1" max="1" width="1.25" style="1" customWidth="1"/>
    <col min="2" max="2" width="33.5" style="1" customWidth="1"/>
    <col min="3" max="9" width="10" style="1" customWidth="1"/>
    <col min="10" max="11" width="10.125" style="1" customWidth="1"/>
    <col min="12" max="12" width="12.7083333333333" style="7" customWidth="1"/>
    <col min="13" max="13" width="44.7916666666667" style="7" customWidth="1"/>
    <col min="14" max="14" width="8" style="7" customWidth="1"/>
    <col min="15" max="18" width="8" style="1" customWidth="1"/>
    <col min="19" max="19" width="14.75" style="1" customWidth="1"/>
    <col min="20" max="20" width="10.5" style="1" customWidth="1"/>
    <col min="21" max="21" width="10.375" style="1" customWidth="1"/>
    <col min="22" max="22" width="10" style="1" customWidth="1"/>
    <col min="23" max="23" width="9.875" style="1" customWidth="1"/>
    <col min="24" max="16384" width="9" style="1"/>
  </cols>
  <sheetData>
    <row r="1" ht="8" customHeight="1"/>
    <row r="2" s="1" customFormat="1" spans="2:21">
      <c r="B2" s="8" t="s">
        <v>136</v>
      </c>
      <c r="C2" s="9"/>
      <c r="D2" s="9"/>
      <c r="E2" s="9"/>
      <c r="F2" s="9"/>
      <c r="G2" s="9"/>
      <c r="H2" s="9"/>
      <c r="I2" s="9"/>
      <c r="J2" s="9"/>
      <c r="K2" s="10"/>
      <c r="L2" s="11"/>
      <c r="M2" s="11"/>
      <c r="N2" s="11"/>
      <c r="O2" s="12"/>
      <c r="P2" s="12"/>
      <c r="Q2" s="12"/>
      <c r="R2" s="12"/>
      <c r="S2" s="12"/>
      <c r="T2" s="12"/>
      <c r="U2" s="12"/>
    </row>
    <row r="3" s="1" customFormat="1" spans="2:21">
      <c r="B3" s="13"/>
      <c r="C3" s="14"/>
      <c r="D3" s="14"/>
      <c r="E3" s="14"/>
      <c r="F3" s="14"/>
      <c r="G3" s="14"/>
      <c r="H3" s="14"/>
      <c r="I3" s="14"/>
      <c r="J3" s="14"/>
      <c r="K3" s="15"/>
      <c r="L3" s="11"/>
      <c r="M3" s="11"/>
      <c r="N3" s="11"/>
      <c r="O3" s="12"/>
      <c r="P3" s="12"/>
      <c r="Q3" s="12"/>
      <c r="R3" s="12"/>
      <c r="S3" s="12"/>
      <c r="T3" s="12"/>
      <c r="U3" s="12"/>
    </row>
    <row r="4" s="1" customFormat="1" spans="2:21">
      <c r="B4" s="13"/>
      <c r="C4" s="14"/>
      <c r="D4" s="14"/>
      <c r="E4" s="14"/>
      <c r="F4" s="14"/>
      <c r="G4" s="14"/>
      <c r="H4" s="14"/>
      <c r="I4" s="14"/>
      <c r="J4" s="14"/>
      <c r="K4" s="15"/>
      <c r="L4" s="11"/>
      <c r="M4" s="11"/>
      <c r="N4" s="11"/>
      <c r="O4" s="12"/>
      <c r="P4" s="12"/>
      <c r="Q4" s="12"/>
      <c r="R4" s="12"/>
      <c r="S4" s="12"/>
      <c r="T4" s="12"/>
      <c r="U4" s="12"/>
    </row>
    <row r="5" s="1" customFormat="1" spans="2:21">
      <c r="B5" s="13"/>
      <c r="C5" s="14"/>
      <c r="D5" s="14"/>
      <c r="E5" s="14"/>
      <c r="F5" s="14"/>
      <c r="G5" s="14"/>
      <c r="H5" s="14"/>
      <c r="I5" s="14"/>
      <c r="J5" s="14"/>
      <c r="K5" s="15"/>
      <c r="L5" s="11"/>
      <c r="M5" s="11"/>
      <c r="N5" s="11"/>
      <c r="O5" s="12"/>
      <c r="P5" s="12"/>
      <c r="Q5" s="12"/>
      <c r="R5" s="12"/>
      <c r="S5" s="12"/>
      <c r="T5" s="12"/>
      <c r="U5" s="12"/>
    </row>
    <row r="6" s="1" customFormat="1" spans="2:21">
      <c r="B6" s="13"/>
      <c r="C6" s="14"/>
      <c r="D6" s="14"/>
      <c r="E6" s="14"/>
      <c r="F6" s="14"/>
      <c r="G6" s="14"/>
      <c r="H6" s="14"/>
      <c r="I6" s="14"/>
      <c r="J6" s="14"/>
      <c r="K6" s="15"/>
      <c r="L6" s="11"/>
      <c r="M6" s="11"/>
      <c r="N6" s="11"/>
      <c r="O6" s="12"/>
      <c r="P6" s="12"/>
      <c r="Q6" s="12"/>
      <c r="R6" s="12"/>
      <c r="S6" s="12"/>
      <c r="T6" s="12"/>
      <c r="U6" s="12"/>
    </row>
    <row r="7" s="1" customFormat="1" spans="2:21">
      <c r="B7" s="13"/>
      <c r="C7" s="14"/>
      <c r="D7" s="14"/>
      <c r="E7" s="14"/>
      <c r="F7" s="14"/>
      <c r="G7" s="14"/>
      <c r="H7" s="14"/>
      <c r="I7" s="14"/>
      <c r="J7" s="14"/>
      <c r="K7" s="15"/>
      <c r="L7" s="11"/>
      <c r="M7" s="11"/>
      <c r="N7" s="11"/>
      <c r="O7" s="12"/>
      <c r="P7" s="12"/>
      <c r="Q7" s="12"/>
      <c r="R7" s="12"/>
      <c r="S7" s="12"/>
      <c r="T7" s="12"/>
      <c r="U7" s="12"/>
    </row>
    <row r="8" s="1" customFormat="1" spans="2:21">
      <c r="B8" s="13"/>
      <c r="C8" s="14"/>
      <c r="D8" s="14"/>
      <c r="E8" s="14"/>
      <c r="F8" s="14"/>
      <c r="G8" s="14"/>
      <c r="H8" s="14"/>
      <c r="I8" s="14"/>
      <c r="J8" s="14"/>
      <c r="K8" s="15"/>
      <c r="L8" s="11"/>
      <c r="M8" s="11"/>
      <c r="N8" s="11"/>
      <c r="O8" s="12"/>
      <c r="P8" s="12"/>
      <c r="Q8" s="12"/>
      <c r="R8" s="12"/>
      <c r="S8" s="12"/>
      <c r="T8" s="12"/>
      <c r="U8" s="12"/>
    </row>
    <row r="9" s="1" customFormat="1" spans="2:21">
      <c r="B9" s="13"/>
      <c r="C9" s="14"/>
      <c r="D9" s="14"/>
      <c r="E9" s="14"/>
      <c r="F9" s="14"/>
      <c r="G9" s="14"/>
      <c r="H9" s="14"/>
      <c r="I9" s="14"/>
      <c r="J9" s="14"/>
      <c r="K9" s="15"/>
      <c r="L9" s="11"/>
      <c r="M9" s="11"/>
      <c r="N9" s="11"/>
      <c r="O9" s="12"/>
      <c r="P9" s="12"/>
      <c r="Q9" s="12"/>
      <c r="R9" s="12"/>
      <c r="S9" s="12"/>
      <c r="T9" s="12"/>
      <c r="U9" s="12"/>
    </row>
    <row r="10" s="1" customFormat="1" ht="17.25" spans="2:21">
      <c r="B10" s="16"/>
      <c r="C10" s="17"/>
      <c r="D10" s="17"/>
      <c r="E10" s="17"/>
      <c r="F10" s="17"/>
      <c r="G10" s="17"/>
      <c r="H10" s="17"/>
      <c r="I10" s="17"/>
      <c r="J10" s="17"/>
      <c r="K10" s="18"/>
      <c r="L10" s="11"/>
      <c r="M10" s="11"/>
      <c r="N10" s="11"/>
      <c r="O10" s="12"/>
      <c r="P10" s="12"/>
      <c r="Q10" s="12"/>
      <c r="R10" s="12"/>
      <c r="S10" s="12"/>
      <c r="T10" s="12"/>
      <c r="U10" s="12"/>
    </row>
    <row r="12" s="1" customFormat="1" spans="2:21">
      <c r="B12" s="8" t="s">
        <v>137</v>
      </c>
      <c r="C12" s="9"/>
      <c r="D12" s="9"/>
      <c r="E12" s="9"/>
      <c r="F12" s="9"/>
      <c r="G12" s="9"/>
      <c r="H12" s="9"/>
      <c r="I12" s="9"/>
      <c r="J12" s="9"/>
      <c r="K12" s="10"/>
      <c r="L12" s="7"/>
      <c r="M12" s="7"/>
      <c r="N12" s="7"/>
    </row>
    <row r="13" s="1" customFormat="1" spans="2:21">
      <c r="B13" s="13"/>
      <c r="C13" s="14"/>
      <c r="D13" s="14"/>
      <c r="E13" s="14"/>
      <c r="F13" s="14"/>
      <c r="G13" s="14"/>
      <c r="H13" s="14"/>
      <c r="I13" s="14"/>
      <c r="J13" s="14"/>
      <c r="K13" s="15"/>
      <c r="L13" s="7"/>
      <c r="M13" s="7"/>
      <c r="N13" s="7"/>
    </row>
    <row r="14" s="1" customFormat="1" spans="2:21">
      <c r="B14" s="13"/>
      <c r="C14" s="14"/>
      <c r="D14" s="14"/>
      <c r="E14" s="14"/>
      <c r="F14" s="14"/>
      <c r="G14" s="14"/>
      <c r="H14" s="14"/>
      <c r="I14" s="14"/>
      <c r="J14" s="14"/>
      <c r="K14" s="15"/>
      <c r="L14" s="7"/>
      <c r="M14" s="7"/>
      <c r="N14" s="7"/>
    </row>
    <row r="15" s="1" customFormat="1" spans="2:21">
      <c r="B15" s="13"/>
      <c r="C15" s="14"/>
      <c r="D15" s="14"/>
      <c r="E15" s="14"/>
      <c r="F15" s="14"/>
      <c r="G15" s="14"/>
      <c r="H15" s="14"/>
      <c r="I15" s="14"/>
      <c r="J15" s="14"/>
      <c r="K15" s="15"/>
      <c r="L15" s="7"/>
      <c r="M15" s="7"/>
      <c r="N15" s="7"/>
    </row>
    <row r="16" s="1" customFormat="1" spans="2:21">
      <c r="B16" s="13"/>
      <c r="C16" s="14"/>
      <c r="D16" s="14"/>
      <c r="E16" s="14"/>
      <c r="F16" s="14"/>
      <c r="G16" s="14"/>
      <c r="H16" s="14"/>
      <c r="I16" s="14"/>
      <c r="J16" s="14"/>
      <c r="K16" s="15"/>
      <c r="L16" s="7"/>
      <c r="M16" s="7"/>
      <c r="N16" s="7"/>
    </row>
    <row r="17" s="1" customFormat="1" spans="2:18">
      <c r="B17" s="13"/>
      <c r="C17" s="14"/>
      <c r="D17" s="14"/>
      <c r="E17" s="14"/>
      <c r="F17" s="14"/>
      <c r="G17" s="14"/>
      <c r="H17" s="14"/>
      <c r="I17" s="14"/>
      <c r="J17" s="14"/>
      <c r="K17" s="15"/>
      <c r="L17" s="7"/>
      <c r="M17" s="7"/>
      <c r="N17" s="7"/>
    </row>
    <row r="18" s="1" customFormat="1" ht="17.25" spans="2:18">
      <c r="B18" s="16"/>
      <c r="C18" s="17"/>
      <c r="D18" s="17"/>
      <c r="E18" s="17"/>
      <c r="F18" s="17"/>
      <c r="G18" s="17"/>
      <c r="H18" s="17"/>
      <c r="I18" s="17"/>
      <c r="J18" s="17"/>
      <c r="K18" s="18"/>
      <c r="L18" s="7"/>
      <c r="M18" s="7"/>
      <c r="N18" s="7"/>
    </row>
    <row r="19" s="1" customFormat="1" spans="2:18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7"/>
      <c r="M19" s="7"/>
      <c r="N19" s="7"/>
    </row>
    <row r="20" s="1" customFormat="1" ht="17.25" spans="2:18">
      <c r="B20" s="14" t="s">
        <v>50</v>
      </c>
      <c r="C20" s="14"/>
      <c r="D20" s="14"/>
      <c r="E20" s="14"/>
      <c r="F20" s="14"/>
      <c r="G20" s="14"/>
      <c r="H20" s="14"/>
      <c r="I20" s="14"/>
      <c r="J20" s="14"/>
      <c r="K20" s="14"/>
      <c r="L20" s="7"/>
      <c r="M20" s="7"/>
      <c r="N20" s="7"/>
    </row>
    <row r="21" s="1" customFormat="1" spans="2:18">
      <c r="B21" s="19" t="s">
        <v>51</v>
      </c>
      <c r="C21" s="20" t="s">
        <v>52</v>
      </c>
      <c r="D21" s="20"/>
      <c r="E21" s="20" t="s">
        <v>53</v>
      </c>
      <c r="F21" s="20"/>
      <c r="G21" s="20"/>
      <c r="H21" s="20"/>
      <c r="I21" s="20" t="s">
        <v>54</v>
      </c>
      <c r="J21" s="20"/>
      <c r="K21" s="21" t="s">
        <v>55</v>
      </c>
      <c r="L21" s="21"/>
      <c r="M21" s="22"/>
      <c r="N21" s="7"/>
      <c r="O21" s="7"/>
    </row>
    <row r="22" s="1" customFormat="1" spans="2:18">
      <c r="B22" s="23"/>
      <c r="C22" s="4"/>
      <c r="D22" s="4"/>
      <c r="E22" s="3" t="s">
        <v>56</v>
      </c>
      <c r="F22" s="3"/>
      <c r="G22" s="3" t="s">
        <v>57</v>
      </c>
      <c r="H22" s="3"/>
      <c r="I22" s="4" t="s">
        <v>28</v>
      </c>
      <c r="J22" s="4"/>
      <c r="K22" s="24" t="s">
        <v>58</v>
      </c>
      <c r="L22" s="24"/>
      <c r="M22" s="25"/>
      <c r="N22" s="7"/>
      <c r="O22" s="7"/>
    </row>
    <row r="23" s="1" customFormat="1" spans="2:18">
      <c r="B23" s="26" t="s">
        <v>59</v>
      </c>
      <c r="C23" s="27"/>
      <c r="D23" s="27"/>
      <c r="E23" s="4" t="s">
        <v>60</v>
      </c>
      <c r="F23" s="4"/>
      <c r="G23" s="4" t="s">
        <v>61</v>
      </c>
      <c r="H23" s="4"/>
      <c r="I23" s="28" t="s">
        <v>62</v>
      </c>
      <c r="J23" s="28"/>
      <c r="K23" s="24"/>
      <c r="L23" s="24"/>
      <c r="M23" s="25"/>
      <c r="N23" s="7"/>
      <c r="O23" s="7"/>
    </row>
    <row r="24" s="1" customFormat="1" spans="2:18">
      <c r="B24" s="29" t="s">
        <v>63</v>
      </c>
      <c r="C24" s="30">
        <v>135364</v>
      </c>
      <c r="D24" s="30"/>
      <c r="E24" s="31">
        <f>94800+27500</f>
        <v>122300</v>
      </c>
      <c r="F24" s="31"/>
      <c r="G24" s="31">
        <f>12166+898</f>
        <v>13064</v>
      </c>
      <c r="H24" s="31"/>
      <c r="I24" s="32">
        <v>90</v>
      </c>
      <c r="J24" s="32"/>
      <c r="K24" s="24"/>
      <c r="L24" s="24"/>
      <c r="M24" s="25"/>
      <c r="N24" s="14"/>
    </row>
    <row r="25" s="1" customFormat="1" spans="2:18">
      <c r="B25" s="29" t="s">
        <v>64</v>
      </c>
      <c r="C25" s="33">
        <f>SUM(E25:H25)</f>
        <v>4700</v>
      </c>
      <c r="D25" s="33"/>
      <c r="E25" s="31">
        <v>2350</v>
      </c>
      <c r="F25" s="31"/>
      <c r="G25" s="31">
        <v>2350</v>
      </c>
      <c r="H25" s="31"/>
      <c r="I25" s="32">
        <v>246</v>
      </c>
      <c r="J25" s="32"/>
      <c r="K25" s="24" t="s">
        <v>65</v>
      </c>
      <c r="L25" s="24"/>
      <c r="M25" s="25"/>
      <c r="N25" s="14"/>
      <c r="P25" s="7"/>
      <c r="Q25" s="7"/>
      <c r="R25" s="7"/>
    </row>
    <row r="26" s="1" customFormat="1" spans="2:18">
      <c r="B26" s="29" t="s">
        <v>66</v>
      </c>
      <c r="C26" s="30">
        <f t="shared" ref="C26:G26" si="0">C24-C25</f>
        <v>130664</v>
      </c>
      <c r="D26" s="30"/>
      <c r="E26" s="30">
        <f t="shared" si="0"/>
        <v>119950</v>
      </c>
      <c r="F26" s="30"/>
      <c r="G26" s="30">
        <f t="shared" si="0"/>
        <v>10714</v>
      </c>
      <c r="H26" s="30"/>
      <c r="I26" s="30">
        <f>I24-I25</f>
        <v>-156</v>
      </c>
      <c r="J26" s="30"/>
      <c r="K26" s="24"/>
      <c r="L26" s="24"/>
      <c r="M26" s="25"/>
      <c r="N26" s="7"/>
    </row>
    <row r="27" s="1" customFormat="1" spans="2:18">
      <c r="B27" s="29" t="s">
        <v>67</v>
      </c>
      <c r="C27" s="34">
        <f t="shared" ref="C27:G27" si="1">C26/C24</f>
        <v>0.965278803817854</v>
      </c>
      <c r="D27" s="34"/>
      <c r="E27" s="34">
        <f t="shared" si="1"/>
        <v>0.980784955028618</v>
      </c>
      <c r="F27" s="34"/>
      <c r="G27" s="34">
        <f t="shared" si="1"/>
        <v>0.820116350275566</v>
      </c>
      <c r="H27" s="34"/>
      <c r="I27" s="34">
        <f>I26/I24</f>
        <v>-1.73333333333333</v>
      </c>
      <c r="J27" s="34"/>
      <c r="K27" s="24"/>
      <c r="L27" s="24"/>
      <c r="M27" s="25"/>
      <c r="N27" s="7"/>
    </row>
    <row r="28" s="1" customFormat="1" spans="2:18">
      <c r="B28" s="29" t="s">
        <v>68</v>
      </c>
      <c r="C28" s="35">
        <v>2.3</v>
      </c>
      <c r="D28" s="35"/>
      <c r="E28" s="35">
        <v>2.3</v>
      </c>
      <c r="F28" s="35"/>
      <c r="G28" s="35">
        <v>2.3</v>
      </c>
      <c r="H28" s="35"/>
      <c r="I28" s="36">
        <v>4</v>
      </c>
      <c r="J28" s="36"/>
      <c r="K28" s="24"/>
      <c r="L28" s="24"/>
      <c r="M28" s="25"/>
      <c r="N28" s="7"/>
    </row>
    <row r="29" s="1" customFormat="1" spans="2:18">
      <c r="B29" s="29" t="s">
        <v>69</v>
      </c>
      <c r="C29" s="33">
        <f>SUM(E29:H29)</f>
        <v>31334</v>
      </c>
      <c r="D29" s="33"/>
      <c r="E29" s="31">
        <v>24802</v>
      </c>
      <c r="F29" s="31"/>
      <c r="G29" s="31">
        <v>6532</v>
      </c>
      <c r="H29" s="31"/>
      <c r="I29" s="32">
        <v>20</v>
      </c>
      <c r="J29" s="32"/>
      <c r="K29" s="24"/>
      <c r="L29" s="24"/>
      <c r="M29" s="25"/>
      <c r="N29" s="7"/>
    </row>
    <row r="30" s="1" customFormat="1" spans="2:18">
      <c r="B30" s="29" t="s">
        <v>70</v>
      </c>
      <c r="C30" s="24"/>
      <c r="D30" s="24"/>
      <c r="E30" s="37" t="s">
        <v>71</v>
      </c>
      <c r="F30" s="37"/>
      <c r="G30" s="37" t="s">
        <v>72</v>
      </c>
      <c r="H30" s="37"/>
      <c r="I30" s="37" t="s">
        <v>73</v>
      </c>
      <c r="J30" s="37"/>
      <c r="K30" s="24" t="s">
        <v>74</v>
      </c>
      <c r="L30" s="24"/>
      <c r="M30" s="25"/>
      <c r="N30" s="7"/>
    </row>
    <row r="31" s="1" customFormat="1" spans="2:18">
      <c r="B31" s="29" t="s">
        <v>75</v>
      </c>
      <c r="C31" s="33">
        <v>212973</v>
      </c>
      <c r="D31" s="33"/>
      <c r="E31" s="31">
        <v>200141</v>
      </c>
      <c r="F31" s="31"/>
      <c r="G31" s="31">
        <v>200141</v>
      </c>
      <c r="H31" s="31"/>
      <c r="I31" s="38">
        <v>12832</v>
      </c>
      <c r="J31" s="38"/>
      <c r="K31" s="24"/>
      <c r="L31" s="24"/>
      <c r="M31" s="25"/>
      <c r="N31" s="7"/>
    </row>
    <row r="32" s="1" customFormat="1" spans="2:18">
      <c r="B32" s="29" t="s">
        <v>76</v>
      </c>
      <c r="C32" s="33">
        <v>212973</v>
      </c>
      <c r="D32" s="33"/>
      <c r="E32" s="31">
        <v>200141</v>
      </c>
      <c r="F32" s="31"/>
      <c r="G32" s="31">
        <v>200141</v>
      </c>
      <c r="H32" s="31"/>
      <c r="I32" s="38">
        <v>12832</v>
      </c>
      <c r="J32" s="38"/>
      <c r="K32" s="24" t="s">
        <v>77</v>
      </c>
      <c r="L32" s="24"/>
      <c r="M32" s="25"/>
      <c r="N32" s="7"/>
    </row>
    <row r="33" s="1" customFormat="1" spans="2:25">
      <c r="B33" s="29" t="s">
        <v>78</v>
      </c>
      <c r="C33" s="39"/>
      <c r="D33" s="39"/>
      <c r="E33" s="31">
        <v>100000</v>
      </c>
      <c r="F33" s="31"/>
      <c r="G33" s="31">
        <v>100000</v>
      </c>
      <c r="H33" s="31"/>
      <c r="I33" s="38">
        <v>200</v>
      </c>
      <c r="J33" s="38"/>
      <c r="K33" s="24" t="s">
        <v>79</v>
      </c>
      <c r="L33" s="24"/>
      <c r="M33" s="25"/>
      <c r="N33" s="7"/>
    </row>
    <row r="34" s="1" customFormat="1" spans="2:25">
      <c r="B34" s="29" t="s">
        <v>80</v>
      </c>
      <c r="C34" s="39">
        <v>0.04</v>
      </c>
      <c r="D34" s="39"/>
      <c r="E34" s="39">
        <v>0.04</v>
      </c>
      <c r="F34" s="39"/>
      <c r="G34" s="39">
        <v>0.04</v>
      </c>
      <c r="H34" s="39"/>
      <c r="I34" s="32">
        <v>0.04</v>
      </c>
      <c r="J34" s="32"/>
      <c r="K34" s="24"/>
      <c r="L34" s="24"/>
      <c r="M34" s="25"/>
      <c r="N34" s="7"/>
    </row>
    <row r="35" s="1" customFormat="1" ht="17.25" spans="2:25">
      <c r="B35" s="40" t="s">
        <v>81</v>
      </c>
      <c r="C35" s="41">
        <f t="shared" ref="C35:G35" si="2">C24/C29</f>
        <v>4.32003574392034</v>
      </c>
      <c r="D35" s="41"/>
      <c r="E35" s="41">
        <f t="shared" si="2"/>
        <v>4.93105394726232</v>
      </c>
      <c r="F35" s="41"/>
      <c r="G35" s="41">
        <f t="shared" si="2"/>
        <v>2</v>
      </c>
      <c r="H35" s="41"/>
      <c r="I35" s="41">
        <f>I24/I29</f>
        <v>4.5</v>
      </c>
      <c r="J35" s="41"/>
      <c r="K35" s="42"/>
      <c r="L35" s="42"/>
      <c r="M35" s="43"/>
      <c r="N35" s="7"/>
    </row>
    <row r="36" s="1" customFormat="1" spans="2:25">
      <c r="B36" s="14"/>
      <c r="C36" s="14"/>
      <c r="D36" s="44"/>
      <c r="E36" s="45"/>
      <c r="F36" s="46"/>
      <c r="G36" s="45"/>
      <c r="H36" s="45"/>
      <c r="I36" s="47"/>
      <c r="J36" s="47"/>
      <c r="K36" s="47"/>
      <c r="L36" s="47"/>
      <c r="M36" s="47"/>
      <c r="N36" s="7"/>
    </row>
    <row r="37" s="1" customFormat="1" spans="2:25">
      <c r="B37" s="48" t="s">
        <v>138</v>
      </c>
      <c r="C37" s="48"/>
      <c r="D37" s="48"/>
      <c r="E37" s="48"/>
      <c r="F37" s="48"/>
      <c r="G37" s="48"/>
      <c r="H37" s="48"/>
      <c r="I37" s="48"/>
      <c r="J37" s="48"/>
      <c r="K37" s="48"/>
      <c r="L37" s="7"/>
      <c r="M37" s="7"/>
      <c r="N37" s="7"/>
    </row>
    <row r="38" s="1" customFormat="1" spans="2:25"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7"/>
      <c r="M38" s="7"/>
      <c r="N38" s="7"/>
    </row>
    <row r="39" s="1" customFormat="1" ht="17.25" spans="2:25"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7"/>
      <c r="M39" s="7"/>
      <c r="N39" s="7"/>
    </row>
    <row r="40" s="1" customFormat="1" spans="2:25">
      <c r="B40" s="49" t="s">
        <v>51</v>
      </c>
      <c r="C40" s="50" t="s">
        <v>83</v>
      </c>
      <c r="D40" s="50"/>
      <c r="E40" s="50"/>
      <c r="F40" s="50"/>
      <c r="G40" s="50"/>
      <c r="H40" s="50"/>
      <c r="I40" s="50"/>
      <c r="J40" s="50"/>
      <c r="K40" s="51"/>
      <c r="L40" s="7"/>
      <c r="M40" s="52" t="s">
        <v>51</v>
      </c>
      <c r="N40" s="53" t="s">
        <v>84</v>
      </c>
      <c r="O40" s="53"/>
      <c r="P40" s="53"/>
      <c r="Q40" s="53"/>
      <c r="R40" s="53"/>
      <c r="S40" s="53"/>
      <c r="T40" s="50" t="s">
        <v>85</v>
      </c>
      <c r="U40" s="50"/>
      <c r="V40" s="50"/>
      <c r="W40" s="50"/>
      <c r="X40" s="50"/>
      <c r="Y40" s="51"/>
    </row>
    <row r="41" s="1" customFormat="1" spans="2:25">
      <c r="B41" s="54"/>
      <c r="C41" s="4" t="s">
        <v>86</v>
      </c>
      <c r="D41" s="4" t="s">
        <v>87</v>
      </c>
      <c r="E41" s="4" t="s">
        <v>88</v>
      </c>
      <c r="F41" s="4" t="s">
        <v>89</v>
      </c>
      <c r="G41" s="4" t="s">
        <v>90</v>
      </c>
      <c r="H41" s="4" t="s">
        <v>91</v>
      </c>
      <c r="I41" s="4" t="s">
        <v>92</v>
      </c>
      <c r="J41" s="4" t="s">
        <v>93</v>
      </c>
      <c r="K41" s="55" t="s">
        <v>52</v>
      </c>
      <c r="L41" s="7"/>
      <c r="M41" s="56"/>
      <c r="N41" s="57" t="s">
        <v>94</v>
      </c>
      <c r="O41" s="57" t="s">
        <v>95</v>
      </c>
      <c r="P41" s="57" t="s">
        <v>96</v>
      </c>
      <c r="Q41" s="4" t="s">
        <v>97</v>
      </c>
      <c r="R41" s="4"/>
      <c r="S41" s="58" t="s">
        <v>67</v>
      </c>
      <c r="T41" s="3"/>
      <c r="U41" s="3"/>
      <c r="V41" s="3"/>
      <c r="W41" s="3"/>
      <c r="X41" s="3"/>
      <c r="Y41" s="55"/>
    </row>
    <row r="42" s="1" customFormat="1" spans="2:25">
      <c r="B42" s="54"/>
      <c r="C42" s="4"/>
      <c r="D42" s="4"/>
      <c r="E42" s="4"/>
      <c r="F42" s="4"/>
      <c r="G42" s="4"/>
      <c r="H42" s="4"/>
      <c r="I42" s="4"/>
      <c r="J42" s="4"/>
      <c r="K42" s="55"/>
      <c r="L42" s="7"/>
      <c r="M42" s="56"/>
      <c r="N42" s="57"/>
      <c r="O42" s="57"/>
      <c r="P42" s="57"/>
      <c r="Q42" s="4" t="s">
        <v>99</v>
      </c>
      <c r="R42" s="4" t="s">
        <v>100</v>
      </c>
      <c r="S42" s="58"/>
      <c r="T42" s="3"/>
      <c r="U42" s="3"/>
      <c r="V42" s="3"/>
      <c r="W42" s="3"/>
      <c r="X42" s="3"/>
      <c r="Y42" s="55"/>
    </row>
    <row r="43" s="1" customFormat="1" spans="2:25">
      <c r="B43" s="59" t="s">
        <v>101</v>
      </c>
      <c r="C43" s="60"/>
      <c r="D43" s="60"/>
      <c r="E43" s="60"/>
      <c r="F43" s="60"/>
      <c r="G43" s="60"/>
      <c r="H43" s="60"/>
      <c r="I43" s="60"/>
      <c r="J43" s="60"/>
      <c r="K43" s="61"/>
      <c r="L43" s="7"/>
      <c r="M43" s="62" t="s">
        <v>102</v>
      </c>
      <c r="N43" s="63" cm="1">
        <f t="array" ref="N43">SUMPRODUCT(C44:J44,C56:J56)*30/10000</f>
        <v>4.7475</v>
      </c>
      <c r="O43" s="63" cm="1">
        <f t="array" ref="O43">SUMPRODUCT(C50:J50,C44:J44)*30/10000</f>
        <v>5.4504</v>
      </c>
      <c r="P43" s="63">
        <f>N43-O43</f>
        <v>-0.702900000000001</v>
      </c>
      <c r="Q43" s="63"/>
      <c r="R43" s="63"/>
      <c r="S43" s="64">
        <f>P43/N43</f>
        <v>-0.148056872037915</v>
      </c>
      <c r="T43" s="65" t="s">
        <v>139</v>
      </c>
      <c r="U43" s="66"/>
      <c r="V43" s="66"/>
      <c r="W43" s="66"/>
      <c r="X43" s="66"/>
      <c r="Y43" s="67"/>
    </row>
    <row r="44" s="1" customFormat="1" spans="2:25">
      <c r="B44" s="54" t="s">
        <v>0</v>
      </c>
      <c r="C44" s="68">
        <f t="shared" ref="C44:J44" si="3">ROUND(C45*$K$44,0)</f>
        <v>64000</v>
      </c>
      <c r="D44" s="68">
        <f t="shared" si="3"/>
        <v>4000</v>
      </c>
      <c r="E44" s="68">
        <f t="shared" si="3"/>
        <v>2000</v>
      </c>
      <c r="F44" s="68">
        <f t="shared" si="3"/>
        <v>2000</v>
      </c>
      <c r="G44" s="68">
        <f t="shared" si="3"/>
        <v>2000</v>
      </c>
      <c r="H44" s="68">
        <f t="shared" si="3"/>
        <v>2000</v>
      </c>
      <c r="I44" s="68">
        <f t="shared" si="3"/>
        <v>5000</v>
      </c>
      <c r="J44" s="68">
        <f t="shared" si="3"/>
        <v>19000</v>
      </c>
      <c r="K44" s="69">
        <v>100000</v>
      </c>
      <c r="L44" s="7"/>
      <c r="M44" s="70" t="s">
        <v>116</v>
      </c>
      <c r="N44" s="63">
        <f>200/N43*10/12</f>
        <v>35.106196243637</v>
      </c>
      <c r="O44" s="63"/>
      <c r="P44" s="63"/>
      <c r="Q44" s="63"/>
      <c r="R44" s="63"/>
      <c r="S44" s="71"/>
      <c r="T44" s="66"/>
      <c r="U44" s="66"/>
      <c r="V44" s="66"/>
      <c r="W44" s="66"/>
      <c r="X44" s="66"/>
      <c r="Y44" s="67"/>
    </row>
    <row r="45" s="1" customFormat="1" spans="2:25">
      <c r="B45" s="54" t="s">
        <v>16</v>
      </c>
      <c r="C45" s="72">
        <v>0.64</v>
      </c>
      <c r="D45" s="72">
        <v>0.04</v>
      </c>
      <c r="E45" s="72">
        <v>0.02</v>
      </c>
      <c r="F45" s="72">
        <v>0.02</v>
      </c>
      <c r="G45" s="72">
        <v>0.02</v>
      </c>
      <c r="H45" s="72">
        <v>0.02</v>
      </c>
      <c r="I45" s="72">
        <v>0.05</v>
      </c>
      <c r="J45" s="72">
        <v>0.19</v>
      </c>
      <c r="K45" s="73">
        <f>SUM(C45:J45)</f>
        <v>1</v>
      </c>
      <c r="L45" s="7"/>
      <c r="M45" s="74"/>
      <c r="N45" s="75"/>
      <c r="O45" s="75"/>
      <c r="P45" s="75"/>
      <c r="Q45" s="75"/>
      <c r="R45" s="75"/>
      <c r="S45" s="76"/>
      <c r="T45" s="66"/>
      <c r="U45" s="66"/>
      <c r="V45" s="66"/>
      <c r="W45" s="66"/>
      <c r="X45" s="66"/>
      <c r="Y45" s="67"/>
    </row>
    <row r="46" s="1" customFormat="1" spans="2:25">
      <c r="B46" s="59" t="s">
        <v>112</v>
      </c>
      <c r="C46" s="60"/>
      <c r="D46" s="60"/>
      <c r="E46" s="60"/>
      <c r="F46" s="60"/>
      <c r="G46" s="60"/>
      <c r="H46" s="60"/>
      <c r="I46" s="60"/>
      <c r="J46" s="60"/>
      <c r="K46" s="61"/>
      <c r="L46" s="7"/>
      <c r="M46" s="77"/>
      <c r="N46" s="78"/>
      <c r="O46" s="78"/>
      <c r="P46" s="78"/>
      <c r="Q46" s="78"/>
      <c r="R46" s="78"/>
      <c r="S46" s="79"/>
      <c r="T46" s="66"/>
      <c r="U46" s="66"/>
      <c r="V46" s="66"/>
      <c r="W46" s="66"/>
      <c r="X46" s="66"/>
      <c r="Y46" s="67"/>
    </row>
    <row r="47" s="1" customFormat="1" spans="2:25">
      <c r="B47" s="54" t="s">
        <v>113</v>
      </c>
      <c r="C47" s="80">
        <v>1</v>
      </c>
      <c r="D47" s="80">
        <v>5</v>
      </c>
      <c r="E47" s="80">
        <v>10</v>
      </c>
      <c r="F47" s="80">
        <v>15</v>
      </c>
      <c r="G47" s="80">
        <v>20</v>
      </c>
      <c r="H47" s="80">
        <v>25</v>
      </c>
      <c r="I47" s="80">
        <v>30</v>
      </c>
      <c r="J47" s="80">
        <v>60</v>
      </c>
      <c r="K47" s="55"/>
      <c r="L47" s="7"/>
      <c r="M47" s="81" t="s">
        <v>119</v>
      </c>
      <c r="N47" s="82" cm="1">
        <f t="array" ref="N47">SUMPRODUCT(C44:J44,C59:J59)*30/10000</f>
        <v>4.1145</v>
      </c>
      <c r="O47" s="82" cm="1">
        <f t="array" ref="O47">SUMPRODUCT(C50:J50,C44:J44)*30/10000</f>
        <v>5.4504</v>
      </c>
      <c r="P47" s="83">
        <f>N47-O47</f>
        <v>-1.3359</v>
      </c>
      <c r="Q47" s="63"/>
      <c r="R47" s="63"/>
      <c r="S47" s="64">
        <f>P47/N47</f>
        <v>-0.324681006197594</v>
      </c>
      <c r="T47" s="66"/>
      <c r="U47" s="66"/>
      <c r="V47" s="66"/>
      <c r="W47" s="66"/>
      <c r="X47" s="66"/>
      <c r="Y47" s="67"/>
    </row>
    <row r="48" s="1" customFormat="1" spans="2:25">
      <c r="B48" s="54" t="s">
        <v>68</v>
      </c>
      <c r="C48" s="84">
        <v>4</v>
      </c>
      <c r="D48" s="84">
        <v>4</v>
      </c>
      <c r="E48" s="84">
        <v>4</v>
      </c>
      <c r="F48" s="84">
        <v>4</v>
      </c>
      <c r="G48" s="84">
        <v>4</v>
      </c>
      <c r="H48" s="84">
        <v>4</v>
      </c>
      <c r="I48" s="84">
        <v>4</v>
      </c>
      <c r="J48" s="84">
        <v>4</v>
      </c>
      <c r="K48" s="55"/>
      <c r="L48" s="7"/>
      <c r="M48" s="70" t="s">
        <v>116</v>
      </c>
      <c r="N48" s="63">
        <f>200/N47*10/12</f>
        <v>40.5071495118888</v>
      </c>
      <c r="O48" s="63"/>
      <c r="P48" s="63"/>
      <c r="Q48" s="63"/>
      <c r="R48" s="63"/>
      <c r="S48" s="64"/>
      <c r="T48" s="66"/>
      <c r="U48" s="66"/>
      <c r="V48" s="66"/>
      <c r="W48" s="66"/>
      <c r="X48" s="66"/>
      <c r="Y48" s="67"/>
    </row>
    <row r="49" s="1" customFormat="1" spans="2:25">
      <c r="B49" s="54" t="s">
        <v>80</v>
      </c>
      <c r="C49" s="84">
        <v>0.04</v>
      </c>
      <c r="D49" s="84">
        <v>0.04</v>
      </c>
      <c r="E49" s="84">
        <v>0.04</v>
      </c>
      <c r="F49" s="84">
        <v>0.04</v>
      </c>
      <c r="G49" s="84">
        <v>0.04</v>
      </c>
      <c r="H49" s="84">
        <v>0.04</v>
      </c>
      <c r="I49" s="84">
        <v>0.04</v>
      </c>
      <c r="J49" s="84">
        <v>0.04</v>
      </c>
      <c r="K49" s="55"/>
      <c r="L49" s="7"/>
      <c r="M49" s="70"/>
      <c r="N49" s="63"/>
      <c r="O49" s="63"/>
      <c r="P49" s="63"/>
      <c r="Q49" s="63"/>
      <c r="R49" s="63"/>
      <c r="S49" s="85"/>
      <c r="T49" s="66"/>
      <c r="U49" s="66"/>
      <c r="V49" s="66"/>
      <c r="W49" s="66"/>
      <c r="X49" s="66"/>
      <c r="Y49" s="67"/>
    </row>
    <row r="50" s="1" customFormat="1" spans="2:25">
      <c r="B50" s="54" t="s">
        <v>117</v>
      </c>
      <c r="C50" s="86">
        <f t="shared" ref="C50:J50" si="4">C47*C48*C49*60/1000/8</f>
        <v>0.0012</v>
      </c>
      <c r="D50" s="86">
        <f t="shared" si="4"/>
        <v>0.006</v>
      </c>
      <c r="E50" s="86">
        <f t="shared" si="4"/>
        <v>0.012</v>
      </c>
      <c r="F50" s="86">
        <f t="shared" si="4"/>
        <v>0.018</v>
      </c>
      <c r="G50" s="86">
        <f t="shared" si="4"/>
        <v>0.024</v>
      </c>
      <c r="H50" s="86">
        <f t="shared" si="4"/>
        <v>0.03</v>
      </c>
      <c r="I50" s="86">
        <f t="shared" si="4"/>
        <v>0.036</v>
      </c>
      <c r="J50" s="86">
        <f t="shared" si="4"/>
        <v>0.072</v>
      </c>
      <c r="K50" s="87">
        <f>SUM(C50:J50)</f>
        <v>0.1992</v>
      </c>
      <c r="L50" s="7"/>
      <c r="M50" s="81" t="s">
        <v>122</v>
      </c>
      <c r="N50" s="82" cm="1">
        <f t="array" ref="N50">SUMPRODUCT(C44:J44,C62:J62)*30/10000</f>
        <v>2.532</v>
      </c>
      <c r="O50" s="82" cm="1">
        <f t="array" ref="O50">SUMPRODUCT(C50:J50,C44:J44)*30/10000</f>
        <v>5.4504</v>
      </c>
      <c r="P50" s="83">
        <f>N50-O50</f>
        <v>-2.9184</v>
      </c>
      <c r="Q50" s="63"/>
      <c r="R50" s="63"/>
      <c r="S50" s="64">
        <f>P50/N50</f>
        <v>-1.15260663507109</v>
      </c>
      <c r="T50" s="66"/>
      <c r="U50" s="66"/>
      <c r="V50" s="66"/>
      <c r="W50" s="66"/>
      <c r="X50" s="66"/>
      <c r="Y50" s="67"/>
    </row>
    <row r="51" s="1" customFormat="1" spans="2:25">
      <c r="B51" s="88" t="s">
        <v>33</v>
      </c>
      <c r="C51" s="86">
        <f t="shared" ref="C51:J51" si="5">C50/C54*1000</f>
        <v>1.2</v>
      </c>
      <c r="D51" s="86">
        <f t="shared" si="5"/>
        <v>6</v>
      </c>
      <c r="E51" s="86">
        <f t="shared" si="5"/>
        <v>12</v>
      </c>
      <c r="F51" s="86">
        <f t="shared" si="5"/>
        <v>9</v>
      </c>
      <c r="G51" s="86">
        <f t="shared" si="5"/>
        <v>12</v>
      </c>
      <c r="H51" s="86">
        <f t="shared" si="5"/>
        <v>15</v>
      </c>
      <c r="I51" s="86">
        <f t="shared" si="5"/>
        <v>12</v>
      </c>
      <c r="J51" s="86">
        <f t="shared" si="5"/>
        <v>12</v>
      </c>
      <c r="K51" s="89" cm="1">
        <f t="array" ref="K51">SUMPRODUCT(C50:J50,C44:J44)/SUMPRODUCT(C54:J54,C44:J44)*1000</f>
        <v>8.61042654028436</v>
      </c>
      <c r="L51" s="7"/>
      <c r="M51" s="70" t="s">
        <v>116</v>
      </c>
      <c r="N51" s="63">
        <f>200/N50*10/12</f>
        <v>65.8241179568194</v>
      </c>
      <c r="O51" s="63"/>
      <c r="P51" s="63"/>
      <c r="Q51" s="63"/>
      <c r="R51" s="63"/>
      <c r="S51" s="71"/>
      <c r="T51" s="66"/>
      <c r="U51" s="66"/>
      <c r="V51" s="66"/>
      <c r="W51" s="66"/>
      <c r="X51" s="66"/>
      <c r="Y51" s="67"/>
    </row>
    <row r="52" s="1" customFormat="1" spans="2:25">
      <c r="B52" s="59" t="s">
        <v>140</v>
      </c>
      <c r="C52" s="60"/>
      <c r="D52" s="60"/>
      <c r="E52" s="60"/>
      <c r="F52" s="60"/>
      <c r="G52" s="60"/>
      <c r="H52" s="60"/>
      <c r="I52" s="60"/>
      <c r="J52" s="60"/>
      <c r="K52" s="61"/>
      <c r="L52" s="7"/>
      <c r="M52" s="90"/>
      <c r="N52" s="91"/>
      <c r="O52" s="91"/>
      <c r="P52" s="91"/>
      <c r="Q52" s="91"/>
      <c r="R52" s="91"/>
      <c r="S52" s="92"/>
      <c r="T52" s="66"/>
      <c r="U52" s="66"/>
      <c r="V52" s="66"/>
      <c r="W52" s="66"/>
      <c r="X52" s="66"/>
      <c r="Y52" s="67"/>
    </row>
    <row r="53" s="1" customFormat="1" ht="30" spans="2:25">
      <c r="B53" s="59" t="s">
        <v>120</v>
      </c>
      <c r="C53" s="60"/>
      <c r="D53" s="60"/>
      <c r="E53" s="60"/>
      <c r="F53" s="60"/>
      <c r="G53" s="60"/>
      <c r="H53" s="60"/>
      <c r="I53" s="60"/>
      <c r="J53" s="60"/>
      <c r="K53" s="61"/>
      <c r="L53" s="7"/>
      <c r="M53" s="93" t="s">
        <v>128</v>
      </c>
      <c r="N53" s="82" cm="1">
        <f t="array" ref="N53">SUMPRODUCT(C44:J44,C56:J56)*30/C55*18/10000</f>
        <v>11.394</v>
      </c>
      <c r="O53" s="82">
        <f>O43</f>
        <v>5.4504</v>
      </c>
      <c r="P53" s="82">
        <f>N53-O53</f>
        <v>5.9436</v>
      </c>
      <c r="Q53" s="82">
        <f>P53*0.7</f>
        <v>4.16052</v>
      </c>
      <c r="R53" s="82">
        <f>P53*0.5</f>
        <v>2.9718</v>
      </c>
      <c r="S53" s="94">
        <f>P53/N53</f>
        <v>0.521642969984202</v>
      </c>
      <c r="T53" s="66"/>
      <c r="U53" s="66"/>
      <c r="V53" s="66"/>
      <c r="W53" s="66"/>
      <c r="X53" s="66"/>
      <c r="Y53" s="67"/>
    </row>
    <row r="54" s="1" customFormat="1" spans="2:25">
      <c r="B54" s="54" t="s">
        <v>20</v>
      </c>
      <c r="C54" s="84">
        <f>MIN(1+INT(C47/5),8)</f>
        <v>1</v>
      </c>
      <c r="D54" s="84">
        <f t="shared" ref="D54:I54" si="6">1+INT(D47/15)</f>
        <v>1</v>
      </c>
      <c r="E54" s="84">
        <f t="shared" si="6"/>
        <v>1</v>
      </c>
      <c r="F54" s="84">
        <f t="shared" si="6"/>
        <v>2</v>
      </c>
      <c r="G54" s="84">
        <f t="shared" si="6"/>
        <v>2</v>
      </c>
      <c r="H54" s="84">
        <f t="shared" si="6"/>
        <v>2</v>
      </c>
      <c r="I54" s="84">
        <f t="shared" si="6"/>
        <v>3</v>
      </c>
      <c r="J54" s="84">
        <f>1+INT(30/15)+INT((J47-30)/10)</f>
        <v>6</v>
      </c>
      <c r="K54" s="55"/>
      <c r="L54" s="7"/>
      <c r="M54" s="70" t="s">
        <v>116</v>
      </c>
      <c r="N54" s="82">
        <f>200/N53/12*10</f>
        <v>14.6275817681821</v>
      </c>
      <c r="O54" s="82"/>
      <c r="P54" s="82"/>
      <c r="Q54" s="82"/>
      <c r="R54" s="82"/>
      <c r="S54" s="82"/>
      <c r="T54" s="66"/>
      <c r="U54" s="66"/>
      <c r="V54" s="66"/>
      <c r="W54" s="66"/>
      <c r="X54" s="66"/>
      <c r="Y54" s="67"/>
    </row>
    <row r="55" s="1" customFormat="1" spans="2:25">
      <c r="B55" s="95" t="s">
        <v>102</v>
      </c>
      <c r="C55" s="96">
        <f t="shared" ref="C55:J55" si="7">10*0.5+5*0.5</f>
        <v>7.5</v>
      </c>
      <c r="D55" s="96">
        <f t="shared" si="7"/>
        <v>7.5</v>
      </c>
      <c r="E55" s="96">
        <f t="shared" si="7"/>
        <v>7.5</v>
      </c>
      <c r="F55" s="96">
        <f t="shared" si="7"/>
        <v>7.5</v>
      </c>
      <c r="G55" s="96">
        <f t="shared" si="7"/>
        <v>7.5</v>
      </c>
      <c r="H55" s="96">
        <f t="shared" si="7"/>
        <v>7.5</v>
      </c>
      <c r="I55" s="96">
        <f t="shared" si="7"/>
        <v>7.5</v>
      </c>
      <c r="J55" s="96">
        <f t="shared" si="7"/>
        <v>7.5</v>
      </c>
      <c r="K55" s="87"/>
      <c r="L55" s="7"/>
      <c r="M55" s="70"/>
      <c r="N55" s="5"/>
      <c r="O55" s="63"/>
      <c r="P55" s="63"/>
      <c r="Q55" s="63"/>
      <c r="R55" s="63"/>
      <c r="S55" s="71"/>
      <c r="T55" s="66"/>
      <c r="U55" s="66"/>
      <c r="V55" s="66"/>
      <c r="W55" s="66"/>
      <c r="X55" s="66"/>
      <c r="Y55" s="67"/>
    </row>
    <row r="56" s="1" customFormat="1" spans="2:25">
      <c r="B56" s="54" t="s">
        <v>121</v>
      </c>
      <c r="C56" s="86">
        <f t="shared" ref="C56:J56" si="8">C55*C54/1000</f>
        <v>0.0075</v>
      </c>
      <c r="D56" s="86">
        <f t="shared" si="8"/>
        <v>0.0075</v>
      </c>
      <c r="E56" s="86">
        <f t="shared" si="8"/>
        <v>0.0075</v>
      </c>
      <c r="F56" s="86">
        <f t="shared" si="8"/>
        <v>0.015</v>
      </c>
      <c r="G56" s="86">
        <f t="shared" si="8"/>
        <v>0.015</v>
      </c>
      <c r="H56" s="86">
        <f t="shared" si="8"/>
        <v>0.015</v>
      </c>
      <c r="I56" s="86">
        <f t="shared" si="8"/>
        <v>0.0225</v>
      </c>
      <c r="J56" s="86">
        <f t="shared" si="8"/>
        <v>0.045</v>
      </c>
      <c r="K56" s="87">
        <f>SUM(C56:J56)</f>
        <v>0.135</v>
      </c>
      <c r="L56" s="7"/>
      <c r="M56" s="70"/>
      <c r="N56" s="5"/>
      <c r="O56" s="63"/>
      <c r="P56" s="63"/>
      <c r="Q56" s="63"/>
      <c r="R56" s="63"/>
      <c r="S56" s="71"/>
      <c r="T56" s="66"/>
      <c r="U56" s="66"/>
      <c r="V56" s="66"/>
      <c r="W56" s="66"/>
      <c r="X56" s="66"/>
      <c r="Y56" s="67"/>
    </row>
    <row r="57" s="1" customFormat="1" spans="2:25">
      <c r="B57" s="54" t="s">
        <v>67</v>
      </c>
      <c r="C57" s="85">
        <f t="shared" ref="C57:J57" si="9">(C56-C50)/C56</f>
        <v>0.84</v>
      </c>
      <c r="D57" s="85">
        <f t="shared" si="9"/>
        <v>0.2</v>
      </c>
      <c r="E57" s="85">
        <f t="shared" si="9"/>
        <v>-0.6</v>
      </c>
      <c r="F57" s="85">
        <f t="shared" si="9"/>
        <v>-0.2</v>
      </c>
      <c r="G57" s="85">
        <f t="shared" si="9"/>
        <v>-0.6</v>
      </c>
      <c r="H57" s="85">
        <f t="shared" si="9"/>
        <v>-1</v>
      </c>
      <c r="I57" s="85">
        <f t="shared" si="9"/>
        <v>-0.6</v>
      </c>
      <c r="J57" s="85">
        <f t="shared" si="9"/>
        <v>-0.6</v>
      </c>
      <c r="K57" s="73" cm="1">
        <f t="array" ref="K57">(SUMPRODUCT(C44:J44,C56:J56)-SUMPRODUCT(C50:J50,C44:J44))/SUMPRODUCT(C44:J44,C56:J56)</f>
        <v>-0.148056872037915</v>
      </c>
      <c r="L57" s="7"/>
      <c r="M57" s="70"/>
      <c r="N57" s="5"/>
      <c r="O57" s="63"/>
      <c r="P57" s="63"/>
      <c r="Q57" s="63"/>
      <c r="R57" s="63"/>
      <c r="S57" s="71"/>
      <c r="T57" s="66"/>
      <c r="U57" s="66"/>
      <c r="V57" s="66"/>
      <c r="W57" s="66"/>
      <c r="X57" s="66"/>
      <c r="Y57" s="67"/>
    </row>
    <row r="58" s="1" customFormat="1" spans="2:25">
      <c r="B58" s="95" t="s">
        <v>119</v>
      </c>
      <c r="C58" s="97">
        <f t="shared" ref="C58:J58" si="10">10*0.3+5*0.7</f>
        <v>6.5</v>
      </c>
      <c r="D58" s="97">
        <f t="shared" si="10"/>
        <v>6.5</v>
      </c>
      <c r="E58" s="97">
        <f t="shared" si="10"/>
        <v>6.5</v>
      </c>
      <c r="F58" s="97">
        <f t="shared" si="10"/>
        <v>6.5</v>
      </c>
      <c r="G58" s="97">
        <f t="shared" si="10"/>
        <v>6.5</v>
      </c>
      <c r="H58" s="97">
        <f t="shared" si="10"/>
        <v>6.5</v>
      </c>
      <c r="I58" s="97">
        <f t="shared" si="10"/>
        <v>6.5</v>
      </c>
      <c r="J58" s="97">
        <f t="shared" si="10"/>
        <v>6.5</v>
      </c>
      <c r="K58" s="87"/>
      <c r="L58" s="7"/>
      <c r="M58" s="70"/>
      <c r="N58" s="5"/>
      <c r="O58" s="63"/>
      <c r="P58" s="63"/>
      <c r="Q58" s="63"/>
      <c r="R58" s="63"/>
      <c r="S58" s="71"/>
      <c r="T58" s="66"/>
      <c r="U58" s="66"/>
      <c r="V58" s="66"/>
      <c r="W58" s="66"/>
      <c r="X58" s="66"/>
      <c r="Y58" s="67"/>
    </row>
    <row r="59" s="1" customFormat="1" spans="2:25">
      <c r="B59" s="54" t="s">
        <v>121</v>
      </c>
      <c r="C59" s="86">
        <f t="shared" ref="C59:J59" si="11">C58*C54/1000</f>
        <v>0.0065</v>
      </c>
      <c r="D59" s="86">
        <f t="shared" si="11"/>
        <v>0.0065</v>
      </c>
      <c r="E59" s="86">
        <f t="shared" si="11"/>
        <v>0.0065</v>
      </c>
      <c r="F59" s="86">
        <f t="shared" si="11"/>
        <v>0.013</v>
      </c>
      <c r="G59" s="86">
        <f t="shared" si="11"/>
        <v>0.013</v>
      </c>
      <c r="H59" s="86">
        <f t="shared" si="11"/>
        <v>0.013</v>
      </c>
      <c r="I59" s="86">
        <f t="shared" si="11"/>
        <v>0.0195</v>
      </c>
      <c r="J59" s="86">
        <f t="shared" si="11"/>
        <v>0.039</v>
      </c>
      <c r="K59" s="87">
        <f>SUM(C59:J59)</f>
        <v>0.117</v>
      </c>
      <c r="L59" s="7"/>
      <c r="M59" s="98"/>
      <c r="N59" s="97"/>
      <c r="O59" s="97"/>
      <c r="P59" s="97"/>
      <c r="Q59" s="97"/>
      <c r="R59" s="97"/>
      <c r="S59" s="85"/>
      <c r="T59" s="66"/>
      <c r="U59" s="66"/>
      <c r="V59" s="66"/>
      <c r="W59" s="66"/>
      <c r="X59" s="66"/>
      <c r="Y59" s="67"/>
    </row>
    <row r="60" s="1" customFormat="1" ht="17.25" spans="2:25">
      <c r="B60" s="54" t="s">
        <v>67</v>
      </c>
      <c r="C60" s="85">
        <f t="shared" ref="C60:J60" si="12">(C59-C50)/C59</f>
        <v>0.815384615384615</v>
      </c>
      <c r="D60" s="85">
        <f t="shared" si="12"/>
        <v>0.0769230769230769</v>
      </c>
      <c r="E60" s="85">
        <f t="shared" si="12"/>
        <v>-0.846153846153846</v>
      </c>
      <c r="F60" s="85">
        <f t="shared" si="12"/>
        <v>-0.384615384615385</v>
      </c>
      <c r="G60" s="85">
        <f t="shared" si="12"/>
        <v>-0.846153846153846</v>
      </c>
      <c r="H60" s="85">
        <f t="shared" si="12"/>
        <v>-1.30769230769231</v>
      </c>
      <c r="I60" s="85">
        <f t="shared" si="12"/>
        <v>-0.846153846153846</v>
      </c>
      <c r="J60" s="85">
        <f t="shared" si="12"/>
        <v>-0.846153846153846</v>
      </c>
      <c r="K60" s="73" cm="1">
        <f t="array" ref="K60">(SUMPRODUCT(C44:J44,C59:J59)-SUMPRODUCT(C50:J50,C44:J44))/SUMPRODUCT(C44:J44,C59:J59)</f>
        <v>-0.324681006197594</v>
      </c>
      <c r="L60" s="7"/>
      <c r="M60" s="99"/>
      <c r="N60" s="100"/>
      <c r="O60" s="100"/>
      <c r="P60" s="100"/>
      <c r="Q60" s="100"/>
      <c r="R60" s="100"/>
      <c r="S60" s="101"/>
      <c r="T60" s="102"/>
      <c r="U60" s="102"/>
      <c r="V60" s="102"/>
      <c r="W60" s="102"/>
      <c r="X60" s="102"/>
      <c r="Y60" s="103"/>
    </row>
    <row r="61" s="1" customFormat="1" spans="2:25">
      <c r="B61" s="95" t="s">
        <v>122</v>
      </c>
      <c r="C61" s="97">
        <v>4</v>
      </c>
      <c r="D61" s="97">
        <v>4</v>
      </c>
      <c r="E61" s="97">
        <v>4</v>
      </c>
      <c r="F61" s="97">
        <v>4</v>
      </c>
      <c r="G61" s="97">
        <v>4</v>
      </c>
      <c r="H61" s="97">
        <v>4</v>
      </c>
      <c r="I61" s="97">
        <v>4</v>
      </c>
      <c r="J61" s="97">
        <v>4</v>
      </c>
      <c r="K61" s="73"/>
      <c r="L61" s="7"/>
      <c r="M61" s="104"/>
      <c r="N61" s="105"/>
      <c r="O61" s="105"/>
      <c r="P61" s="105"/>
      <c r="Q61" s="105"/>
      <c r="R61" s="105"/>
      <c r="S61" s="106"/>
      <c r="T61" s="104"/>
      <c r="U61" s="104"/>
      <c r="V61" s="104"/>
      <c r="W61" s="104"/>
      <c r="X61" s="104"/>
      <c r="Y61" s="104"/>
    </row>
    <row r="62" s="1" customFormat="1" spans="2:25">
      <c r="B62" s="54" t="s">
        <v>121</v>
      </c>
      <c r="C62" s="86">
        <f>C61*C54/1000</f>
        <v>0.004</v>
      </c>
      <c r="D62" s="86">
        <f t="shared" ref="C62:J62" si="13">D61*D54/1000</f>
        <v>0.004</v>
      </c>
      <c r="E62" s="86">
        <f t="shared" si="13"/>
        <v>0.004</v>
      </c>
      <c r="F62" s="86">
        <f t="shared" si="13"/>
        <v>0.008</v>
      </c>
      <c r="G62" s="86">
        <f t="shared" si="13"/>
        <v>0.008</v>
      </c>
      <c r="H62" s="86">
        <f t="shared" si="13"/>
        <v>0.008</v>
      </c>
      <c r="I62" s="86">
        <f t="shared" si="13"/>
        <v>0.012</v>
      </c>
      <c r="J62" s="86">
        <f t="shared" si="13"/>
        <v>0.024</v>
      </c>
      <c r="K62" s="73"/>
      <c r="L62" s="7"/>
      <c r="M62" s="104"/>
      <c r="N62" s="105"/>
      <c r="O62" s="105"/>
      <c r="P62" s="105"/>
      <c r="Q62" s="105"/>
      <c r="R62" s="105"/>
      <c r="S62" s="106"/>
      <c r="T62" s="104"/>
      <c r="U62" s="104"/>
      <c r="V62" s="104"/>
      <c r="W62" s="104"/>
      <c r="X62" s="104"/>
      <c r="Y62" s="104"/>
    </row>
    <row r="63" s="1" customFormat="1" ht="17.25" spans="2:25">
      <c r="B63" s="107" t="s">
        <v>67</v>
      </c>
      <c r="C63" s="101">
        <f t="shared" ref="C63:J63" si="14">(C62-C50)/C62</f>
        <v>0.7</v>
      </c>
      <c r="D63" s="101">
        <f t="shared" si="14"/>
        <v>-0.5</v>
      </c>
      <c r="E63" s="101">
        <f t="shared" si="14"/>
        <v>-2</v>
      </c>
      <c r="F63" s="101">
        <f t="shared" si="14"/>
        <v>-1.25</v>
      </c>
      <c r="G63" s="101">
        <f t="shared" si="14"/>
        <v>-2</v>
      </c>
      <c r="H63" s="101">
        <f t="shared" si="14"/>
        <v>-2.75</v>
      </c>
      <c r="I63" s="101">
        <f t="shared" si="14"/>
        <v>-2</v>
      </c>
      <c r="J63" s="101">
        <f t="shared" si="14"/>
        <v>-2</v>
      </c>
      <c r="K63" s="108" cm="1">
        <f t="array" ref="K63">(SUMPRODUCT(C44:J44,C62:J62)-SUMPRODUCT(C50:J50,C44:J44))/SUMPRODUCT(C44:J44,C62:J62)</f>
        <v>-1.15260663507109</v>
      </c>
      <c r="L63" s="7"/>
      <c r="M63" s="104"/>
      <c r="N63" s="105"/>
      <c r="O63" s="105"/>
      <c r="P63" s="105"/>
      <c r="Q63" s="105"/>
      <c r="R63" s="105"/>
      <c r="S63" s="106"/>
      <c r="T63" s="104"/>
      <c r="U63" s="104"/>
      <c r="V63" s="104"/>
      <c r="W63" s="104"/>
      <c r="X63" s="104"/>
      <c r="Y63" s="104"/>
    </row>
    <row r="64" s="1" customFormat="1" spans="2:25">
      <c r="B64" s="109"/>
      <c r="C64" s="1"/>
      <c r="D64" s="1"/>
      <c r="E64" s="1"/>
      <c r="F64" s="1"/>
      <c r="G64" s="1"/>
      <c r="H64" s="1"/>
      <c r="I64" s="1"/>
      <c r="J64" s="1"/>
      <c r="K64" s="1"/>
      <c r="L64" s="7"/>
      <c r="M64" s="7"/>
      <c r="N64" s="7"/>
    </row>
    <row r="65" s="1" customFormat="1" spans="2:25">
      <c r="B65" s="109"/>
      <c r="C65" s="1"/>
      <c r="D65" s="1"/>
      <c r="E65" s="1"/>
      <c r="F65" s="1"/>
      <c r="G65" s="1"/>
      <c r="H65" s="1"/>
      <c r="I65" s="1"/>
      <c r="J65" s="1"/>
      <c r="K65" s="1"/>
      <c r="L65" s="7"/>
      <c r="M65" s="7"/>
      <c r="N65" s="7"/>
    </row>
    <row r="66" s="1" customFormat="1" spans="2:25">
      <c r="B66" s="48" t="s">
        <v>141</v>
      </c>
      <c r="C66" s="48"/>
      <c r="D66" s="48"/>
      <c r="E66" s="48"/>
      <c r="F66" s="48"/>
      <c r="G66" s="48"/>
      <c r="H66" s="48"/>
      <c r="I66" s="48"/>
      <c r="J66" s="48"/>
      <c r="K66" s="48"/>
      <c r="L66" s="7"/>
      <c r="M66" s="7"/>
      <c r="N66" s="7"/>
    </row>
    <row r="67" s="1" customFormat="1" spans="2:25"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7"/>
      <c r="M67" s="7"/>
      <c r="N67" s="7"/>
    </row>
    <row r="68" s="1" customFormat="1" ht="17.25" spans="2:25"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7"/>
      <c r="M68" s="7"/>
      <c r="N68" s="7"/>
    </row>
    <row r="69" s="1" customFormat="1" spans="2:25">
      <c r="B69" s="49" t="s">
        <v>51</v>
      </c>
      <c r="C69" s="50" t="s">
        <v>83</v>
      </c>
      <c r="D69" s="50"/>
      <c r="E69" s="50"/>
      <c r="F69" s="50"/>
      <c r="G69" s="50"/>
      <c r="H69" s="50"/>
      <c r="I69" s="50"/>
      <c r="J69" s="50"/>
      <c r="K69" s="51"/>
      <c r="L69" s="7"/>
      <c r="M69" s="52" t="s">
        <v>51</v>
      </c>
      <c r="N69" s="53" t="s">
        <v>84</v>
      </c>
      <c r="O69" s="53"/>
      <c r="P69" s="53"/>
      <c r="Q69" s="53"/>
      <c r="R69" s="53"/>
      <c r="S69" s="53"/>
      <c r="T69" s="50" t="s">
        <v>85</v>
      </c>
      <c r="U69" s="50"/>
      <c r="V69" s="50"/>
      <c r="W69" s="50"/>
      <c r="X69" s="50"/>
      <c r="Y69" s="51"/>
    </row>
    <row r="70" s="1" customFormat="1" spans="2:25">
      <c r="B70" s="54"/>
      <c r="C70" s="110" t="s">
        <v>86</v>
      </c>
      <c r="D70" s="110" t="s">
        <v>87</v>
      </c>
      <c r="E70" s="110" t="s">
        <v>88</v>
      </c>
      <c r="F70" s="110" t="s">
        <v>89</v>
      </c>
      <c r="G70" s="110" t="s">
        <v>90</v>
      </c>
      <c r="H70" s="110" t="s">
        <v>91</v>
      </c>
      <c r="I70" s="110" t="s">
        <v>92</v>
      </c>
      <c r="J70" s="110" t="s">
        <v>93</v>
      </c>
      <c r="K70" s="111" t="s">
        <v>52</v>
      </c>
      <c r="L70" s="7"/>
      <c r="M70" s="56"/>
      <c r="N70" s="57" t="s">
        <v>94</v>
      </c>
      <c r="O70" s="57" t="s">
        <v>95</v>
      </c>
      <c r="P70" s="57" t="s">
        <v>96</v>
      </c>
      <c r="Q70" s="4" t="s">
        <v>97</v>
      </c>
      <c r="R70" s="4"/>
      <c r="S70" s="58" t="s">
        <v>67</v>
      </c>
      <c r="T70" s="3"/>
      <c r="U70" s="3"/>
      <c r="V70" s="3"/>
      <c r="W70" s="3"/>
      <c r="X70" s="3"/>
      <c r="Y70" s="55"/>
    </row>
    <row r="71" s="1" customFormat="1" spans="2:25">
      <c r="B71" s="54"/>
      <c r="C71" s="112"/>
      <c r="D71" s="112"/>
      <c r="E71" s="112"/>
      <c r="F71" s="112"/>
      <c r="G71" s="112"/>
      <c r="H71" s="112"/>
      <c r="I71" s="112"/>
      <c r="J71" s="112"/>
      <c r="K71" s="113"/>
      <c r="L71" s="7"/>
      <c r="M71" s="56"/>
      <c r="N71" s="57"/>
      <c r="O71" s="57"/>
      <c r="P71" s="57"/>
      <c r="Q71" s="4" t="s">
        <v>99</v>
      </c>
      <c r="R71" s="4" t="s">
        <v>100</v>
      </c>
      <c r="S71" s="58"/>
      <c r="T71" s="3"/>
      <c r="U71" s="3"/>
      <c r="V71" s="3"/>
      <c r="W71" s="3"/>
      <c r="X71" s="3"/>
      <c r="Y71" s="55"/>
    </row>
    <row r="72" s="1" customFormat="1" spans="2:25">
      <c r="B72" s="59" t="s">
        <v>101</v>
      </c>
      <c r="C72" s="60"/>
      <c r="D72" s="60"/>
      <c r="E72" s="60"/>
      <c r="F72" s="60"/>
      <c r="G72" s="60"/>
      <c r="H72" s="60"/>
      <c r="I72" s="60"/>
      <c r="J72" s="60"/>
      <c r="K72" s="61"/>
      <c r="L72" s="7"/>
      <c r="M72" s="62" t="s">
        <v>102</v>
      </c>
      <c r="N72" s="63" cm="1">
        <f t="array" ref="N72">SUMPRODUCT(C73:J73,C85:J85)*30/10000</f>
        <v>5.6025</v>
      </c>
      <c r="O72" s="63" cm="1">
        <f t="array" ref="O72">SUMPRODUCT(C79:J79,C73:J73)*30/10000</f>
        <v>7.2432</v>
      </c>
      <c r="P72" s="63">
        <f>N72-O72</f>
        <v>-1.6407</v>
      </c>
      <c r="Q72" s="63"/>
      <c r="R72" s="63"/>
      <c r="S72" s="64">
        <f>P72/N72</f>
        <v>-0.29285140562249</v>
      </c>
      <c r="T72" s="65" t="s">
        <v>142</v>
      </c>
      <c r="U72" s="66"/>
      <c r="V72" s="66"/>
      <c r="W72" s="66"/>
      <c r="X72" s="66"/>
      <c r="Y72" s="67"/>
    </row>
    <row r="73" s="1" customFormat="1" spans="2:25">
      <c r="B73" s="54" t="s">
        <v>0</v>
      </c>
      <c r="C73" s="68">
        <f t="shared" ref="C73:J73" si="15">ROUND(C74*$K$44,0)</f>
        <v>52000</v>
      </c>
      <c r="D73" s="68">
        <f t="shared" si="15"/>
        <v>2000</v>
      </c>
      <c r="E73" s="68">
        <f t="shared" si="15"/>
        <v>3000</v>
      </c>
      <c r="F73" s="68">
        <f t="shared" si="15"/>
        <v>3000</v>
      </c>
      <c r="G73" s="68">
        <f t="shared" si="15"/>
        <v>3000</v>
      </c>
      <c r="H73" s="68">
        <f t="shared" si="15"/>
        <v>3000</v>
      </c>
      <c r="I73" s="68">
        <f t="shared" si="15"/>
        <v>10000</v>
      </c>
      <c r="J73" s="68">
        <f t="shared" si="15"/>
        <v>24000</v>
      </c>
      <c r="K73" s="69">
        <v>100000</v>
      </c>
      <c r="L73" s="7"/>
      <c r="M73" s="70" t="s">
        <v>116</v>
      </c>
      <c r="N73" s="63">
        <f>200/N72*10/12</f>
        <v>29.7486241261342</v>
      </c>
      <c r="O73" s="63"/>
      <c r="P73" s="63"/>
      <c r="Q73" s="63"/>
      <c r="R73" s="63"/>
      <c r="S73" s="71"/>
      <c r="T73" s="66"/>
      <c r="U73" s="66"/>
      <c r="V73" s="66"/>
      <c r="W73" s="66"/>
      <c r="X73" s="66"/>
      <c r="Y73" s="67"/>
    </row>
    <row r="74" s="1" customFormat="1" spans="2:25">
      <c r="B74" s="54" t="s">
        <v>16</v>
      </c>
      <c r="C74" s="72">
        <v>0.52</v>
      </c>
      <c r="D74" s="72">
        <v>0.02</v>
      </c>
      <c r="E74" s="72">
        <v>0.03</v>
      </c>
      <c r="F74" s="72">
        <v>0.03</v>
      </c>
      <c r="G74" s="72">
        <v>0.03</v>
      </c>
      <c r="H74" s="72">
        <v>0.03</v>
      </c>
      <c r="I74" s="72">
        <v>0.1</v>
      </c>
      <c r="J74" s="72">
        <v>0.24</v>
      </c>
      <c r="K74" s="73">
        <f>SUM(C74:J74)</f>
        <v>1</v>
      </c>
      <c r="L74" s="7"/>
      <c r="M74" s="74"/>
      <c r="N74" s="75"/>
      <c r="O74" s="75"/>
      <c r="P74" s="75"/>
      <c r="Q74" s="75"/>
      <c r="R74" s="75"/>
      <c r="S74" s="76"/>
      <c r="T74" s="66"/>
      <c r="U74" s="66"/>
      <c r="V74" s="66"/>
      <c r="W74" s="66"/>
      <c r="X74" s="66"/>
      <c r="Y74" s="67"/>
    </row>
    <row r="75" s="1" customFormat="1" spans="2:25">
      <c r="B75" s="59" t="s">
        <v>112</v>
      </c>
      <c r="C75" s="60"/>
      <c r="D75" s="60"/>
      <c r="E75" s="60"/>
      <c r="F75" s="60"/>
      <c r="G75" s="60"/>
      <c r="H75" s="60"/>
      <c r="I75" s="60"/>
      <c r="J75" s="60"/>
      <c r="K75" s="61"/>
      <c r="L75" s="7"/>
      <c r="M75" s="77"/>
      <c r="N75" s="78"/>
      <c r="O75" s="78"/>
      <c r="P75" s="78"/>
      <c r="Q75" s="78"/>
      <c r="R75" s="78"/>
      <c r="S75" s="79"/>
      <c r="T75" s="66"/>
      <c r="U75" s="66"/>
      <c r="V75" s="66"/>
      <c r="W75" s="66"/>
      <c r="X75" s="66"/>
      <c r="Y75" s="67"/>
    </row>
    <row r="76" s="1" customFormat="1" spans="2:25">
      <c r="B76" s="54" t="s">
        <v>113</v>
      </c>
      <c r="C76" s="80">
        <v>1</v>
      </c>
      <c r="D76" s="80">
        <v>5</v>
      </c>
      <c r="E76" s="80">
        <v>10</v>
      </c>
      <c r="F76" s="80">
        <v>15</v>
      </c>
      <c r="G76" s="80">
        <v>20</v>
      </c>
      <c r="H76" s="80">
        <v>25</v>
      </c>
      <c r="I76" s="80">
        <v>30</v>
      </c>
      <c r="J76" s="80">
        <v>60</v>
      </c>
      <c r="K76" s="55"/>
      <c r="L76" s="7"/>
      <c r="M76" s="81" t="s">
        <v>119</v>
      </c>
      <c r="N76" s="82" cm="1">
        <f t="array" ref="N76">SUMPRODUCT(C73:J73,C88:J88)*30/10000</f>
        <v>4.8555</v>
      </c>
      <c r="O76" s="82" cm="1">
        <f t="array" ref="O76">SUMPRODUCT(C79:J79,C73:J73)*30/10000</f>
        <v>7.2432</v>
      </c>
      <c r="P76" s="83">
        <f>N76-O76</f>
        <v>-2.3877</v>
      </c>
      <c r="Q76" s="63"/>
      <c r="R76" s="63"/>
      <c r="S76" s="64">
        <f>P76/N76</f>
        <v>-0.491751621872104</v>
      </c>
      <c r="T76" s="66"/>
      <c r="U76" s="66"/>
      <c r="V76" s="66"/>
      <c r="W76" s="66"/>
      <c r="X76" s="66"/>
      <c r="Y76" s="67"/>
    </row>
    <row r="77" s="1" customFormat="1" spans="2:25">
      <c r="B77" s="54" t="s">
        <v>68</v>
      </c>
      <c r="C77" s="84">
        <v>4</v>
      </c>
      <c r="D77" s="84">
        <v>4</v>
      </c>
      <c r="E77" s="84">
        <v>4</v>
      </c>
      <c r="F77" s="84">
        <v>4</v>
      </c>
      <c r="G77" s="84">
        <v>4</v>
      </c>
      <c r="H77" s="84">
        <v>4</v>
      </c>
      <c r="I77" s="84">
        <v>4</v>
      </c>
      <c r="J77" s="84">
        <v>4</v>
      </c>
      <c r="K77" s="55"/>
      <c r="L77" s="7"/>
      <c r="M77" s="70" t="s">
        <v>116</v>
      </c>
      <c r="N77" s="63">
        <f>200/N76*10/12</f>
        <v>34.3253355301548</v>
      </c>
      <c r="O77" s="63"/>
      <c r="P77" s="63"/>
      <c r="Q77" s="63"/>
      <c r="R77" s="63"/>
      <c r="S77" s="71"/>
      <c r="T77" s="66"/>
      <c r="U77" s="66"/>
      <c r="V77" s="66"/>
      <c r="W77" s="66"/>
      <c r="X77" s="66"/>
      <c r="Y77" s="67"/>
    </row>
    <row r="78" s="1" customFormat="1" spans="2:25">
      <c r="B78" s="54" t="s">
        <v>80</v>
      </c>
      <c r="C78" s="84">
        <v>0.04</v>
      </c>
      <c r="D78" s="84">
        <v>0.04</v>
      </c>
      <c r="E78" s="84">
        <v>0.04</v>
      </c>
      <c r="F78" s="84">
        <v>0.04</v>
      </c>
      <c r="G78" s="84">
        <v>0.04</v>
      </c>
      <c r="H78" s="84">
        <v>0.04</v>
      </c>
      <c r="I78" s="84">
        <v>0.04</v>
      </c>
      <c r="J78" s="84">
        <v>0.04</v>
      </c>
      <c r="K78" s="55"/>
      <c r="L78" s="7"/>
      <c r="M78" s="70"/>
      <c r="N78" s="63"/>
      <c r="O78" s="63"/>
      <c r="P78" s="63"/>
      <c r="Q78" s="63"/>
      <c r="R78" s="63"/>
      <c r="S78" s="85"/>
      <c r="T78" s="66"/>
      <c r="U78" s="66"/>
      <c r="V78" s="66"/>
      <c r="W78" s="66"/>
      <c r="X78" s="66"/>
      <c r="Y78" s="67"/>
    </row>
    <row r="79" s="1" customFormat="1" spans="2:25">
      <c r="B79" s="54" t="s">
        <v>117</v>
      </c>
      <c r="C79" s="86">
        <f t="shared" ref="C79:J79" si="16">C76*C77*C78*60/1000/8</f>
        <v>0.0012</v>
      </c>
      <c r="D79" s="86">
        <f t="shared" si="16"/>
        <v>0.006</v>
      </c>
      <c r="E79" s="86">
        <f t="shared" si="16"/>
        <v>0.012</v>
      </c>
      <c r="F79" s="86">
        <f t="shared" si="16"/>
        <v>0.018</v>
      </c>
      <c r="G79" s="86">
        <f t="shared" si="16"/>
        <v>0.024</v>
      </c>
      <c r="H79" s="86">
        <f t="shared" si="16"/>
        <v>0.03</v>
      </c>
      <c r="I79" s="86">
        <f t="shared" si="16"/>
        <v>0.036</v>
      </c>
      <c r="J79" s="86">
        <f t="shared" si="16"/>
        <v>0.072</v>
      </c>
      <c r="K79" s="87">
        <f>SUM(C79:J79)</f>
        <v>0.1992</v>
      </c>
      <c r="L79" s="7"/>
      <c r="M79" s="81" t="s">
        <v>122</v>
      </c>
      <c r="N79" s="82" cm="1">
        <f t="array" ref="N79">SUMPRODUCT(C73:J73,C91:J91)*30/10000</f>
        <v>2.988</v>
      </c>
      <c r="O79" s="82" cm="1">
        <f t="array" ref="O79">SUMPRODUCT(C79:J79,C73:J73)*30/10000</f>
        <v>7.2432</v>
      </c>
      <c r="P79" s="83">
        <f>N79-O79</f>
        <v>-4.2552</v>
      </c>
      <c r="Q79" s="63"/>
      <c r="R79" s="63"/>
      <c r="S79" s="64">
        <f>P79/N79</f>
        <v>-1.42409638554217</v>
      </c>
      <c r="T79" s="66"/>
      <c r="U79" s="66"/>
      <c r="V79" s="66"/>
      <c r="W79" s="66"/>
      <c r="X79" s="66"/>
      <c r="Y79" s="67"/>
    </row>
    <row r="80" s="1" customFormat="1" spans="2:25">
      <c r="B80" s="88" t="s">
        <v>33</v>
      </c>
      <c r="C80" s="86">
        <f t="shared" ref="C80:J80" si="17">C79/C83*1000</f>
        <v>1.2</v>
      </c>
      <c r="D80" s="86">
        <f t="shared" si="17"/>
        <v>6</v>
      </c>
      <c r="E80" s="86">
        <f t="shared" si="17"/>
        <v>12</v>
      </c>
      <c r="F80" s="86">
        <f t="shared" si="17"/>
        <v>9</v>
      </c>
      <c r="G80" s="86">
        <f t="shared" si="17"/>
        <v>12</v>
      </c>
      <c r="H80" s="86">
        <f t="shared" si="17"/>
        <v>15</v>
      </c>
      <c r="I80" s="86">
        <f t="shared" si="17"/>
        <v>12</v>
      </c>
      <c r="J80" s="86">
        <f t="shared" si="17"/>
        <v>12</v>
      </c>
      <c r="K80" s="89" cm="1">
        <f t="array" ref="K80">SUMPRODUCT(C79:J79,C73:J73)/SUMPRODUCT(C83:J83,C73:J73)*1000</f>
        <v>9.69638554216867</v>
      </c>
      <c r="L80" s="7"/>
      <c r="M80" s="70" t="s">
        <v>116</v>
      </c>
      <c r="N80" s="63">
        <f>200/N79*10/12</f>
        <v>55.7786702365016</v>
      </c>
      <c r="O80" s="63"/>
      <c r="P80" s="63"/>
      <c r="Q80" s="63"/>
      <c r="R80" s="63"/>
      <c r="S80" s="71"/>
      <c r="T80" s="66"/>
      <c r="U80" s="66"/>
      <c r="V80" s="66"/>
      <c r="W80" s="66"/>
      <c r="X80" s="66"/>
      <c r="Y80" s="67"/>
    </row>
    <row r="81" s="1" customFormat="1" spans="2:25">
      <c r="B81" s="59" t="s">
        <v>143</v>
      </c>
      <c r="C81" s="60"/>
      <c r="D81" s="60"/>
      <c r="E81" s="60"/>
      <c r="F81" s="60"/>
      <c r="G81" s="60"/>
      <c r="H81" s="60"/>
      <c r="I81" s="60"/>
      <c r="J81" s="60"/>
      <c r="K81" s="61"/>
      <c r="L81" s="7"/>
      <c r="M81" s="70"/>
      <c r="N81" s="5"/>
      <c r="O81" s="63"/>
      <c r="P81" s="63"/>
      <c r="Q81" s="63"/>
      <c r="R81" s="63"/>
      <c r="S81" s="71"/>
      <c r="T81" s="66"/>
      <c r="U81" s="66"/>
      <c r="V81" s="66"/>
      <c r="W81" s="66"/>
      <c r="X81" s="66"/>
      <c r="Y81" s="67"/>
    </row>
    <row r="82" s="1" customFormat="1" ht="30" spans="2:25">
      <c r="B82" s="59" t="s">
        <v>120</v>
      </c>
      <c r="C82" s="60"/>
      <c r="D82" s="60"/>
      <c r="E82" s="60"/>
      <c r="F82" s="60"/>
      <c r="G82" s="60"/>
      <c r="H82" s="60"/>
      <c r="I82" s="60"/>
      <c r="J82" s="60"/>
      <c r="K82" s="61"/>
      <c r="L82" s="7"/>
      <c r="M82" s="93" t="s">
        <v>128</v>
      </c>
      <c r="N82" s="82" cm="1">
        <f t="array" ref="N82">SUMPRODUCT(C73:J73,C85:J85)*30/C84*18/10000</f>
        <v>13.446</v>
      </c>
      <c r="O82" s="82">
        <f>O72</f>
        <v>7.2432</v>
      </c>
      <c r="P82" s="82">
        <f>N82-O82</f>
        <v>6.2028</v>
      </c>
      <c r="Q82" s="82">
        <f>P82*0.7</f>
        <v>4.34196</v>
      </c>
      <c r="R82" s="82">
        <f>P82*0.5</f>
        <v>3.1014</v>
      </c>
      <c r="S82" s="94">
        <f>P82/N82</f>
        <v>0.461311914323963</v>
      </c>
      <c r="T82" s="66"/>
      <c r="U82" s="66"/>
      <c r="V82" s="66"/>
      <c r="W82" s="66"/>
      <c r="X82" s="66"/>
      <c r="Y82" s="67"/>
    </row>
    <row r="83" s="1" customFormat="1" spans="2:25">
      <c r="B83" s="54" t="s">
        <v>20</v>
      </c>
      <c r="C83" s="84">
        <f>MIN(1+INT(C76/5),8)</f>
        <v>1</v>
      </c>
      <c r="D83" s="84">
        <f t="shared" ref="D83:I83" si="18">1+INT(D76/15)</f>
        <v>1</v>
      </c>
      <c r="E83" s="84">
        <f t="shared" si="18"/>
        <v>1</v>
      </c>
      <c r="F83" s="84">
        <f t="shared" si="18"/>
        <v>2</v>
      </c>
      <c r="G83" s="84">
        <f t="shared" si="18"/>
        <v>2</v>
      </c>
      <c r="H83" s="84">
        <f t="shared" si="18"/>
        <v>2</v>
      </c>
      <c r="I83" s="84">
        <f t="shared" si="18"/>
        <v>3</v>
      </c>
      <c r="J83" s="84">
        <f>1+INT(30/15)+INT((J76-30)/10)</f>
        <v>6</v>
      </c>
      <c r="K83" s="55"/>
      <c r="L83" s="7"/>
      <c r="M83" s="70" t="s">
        <v>116</v>
      </c>
      <c r="N83" s="82">
        <f>200/N82/12*10</f>
        <v>12.3952600525559</v>
      </c>
      <c r="O83" s="82"/>
      <c r="P83" s="82"/>
      <c r="Q83" s="82"/>
      <c r="R83" s="82"/>
      <c r="S83" s="82"/>
      <c r="T83" s="66"/>
      <c r="U83" s="66"/>
      <c r="V83" s="66"/>
      <c r="W83" s="66"/>
      <c r="X83" s="66"/>
      <c r="Y83" s="67"/>
    </row>
    <row r="84" s="1" customFormat="1" spans="2:25">
      <c r="B84" s="114" t="s">
        <v>102</v>
      </c>
      <c r="C84" s="96">
        <f t="shared" ref="C84:J84" si="19">10*0.5+5*0.5</f>
        <v>7.5</v>
      </c>
      <c r="D84" s="96">
        <f t="shared" si="19"/>
        <v>7.5</v>
      </c>
      <c r="E84" s="96">
        <f t="shared" si="19"/>
        <v>7.5</v>
      </c>
      <c r="F84" s="96">
        <f t="shared" si="19"/>
        <v>7.5</v>
      </c>
      <c r="G84" s="96">
        <f t="shared" si="19"/>
        <v>7.5</v>
      </c>
      <c r="H84" s="96">
        <f t="shared" si="19"/>
        <v>7.5</v>
      </c>
      <c r="I84" s="96">
        <f t="shared" si="19"/>
        <v>7.5</v>
      </c>
      <c r="J84" s="96">
        <f t="shared" si="19"/>
        <v>7.5</v>
      </c>
      <c r="K84" s="87"/>
      <c r="L84" s="7"/>
      <c r="M84" s="70"/>
      <c r="N84" s="5"/>
      <c r="O84" s="63"/>
      <c r="P84" s="63"/>
      <c r="Q84" s="63"/>
      <c r="R84" s="63"/>
      <c r="S84" s="71"/>
      <c r="T84" s="66"/>
      <c r="U84" s="66"/>
      <c r="V84" s="66"/>
      <c r="W84" s="66"/>
      <c r="X84" s="66"/>
      <c r="Y84" s="67"/>
    </row>
    <row r="85" s="1" customFormat="1" spans="2:25">
      <c r="B85" s="54" t="s">
        <v>121</v>
      </c>
      <c r="C85" s="86">
        <f t="shared" ref="C85:J85" si="20">C84*C83/1000</f>
        <v>0.0075</v>
      </c>
      <c r="D85" s="86">
        <f t="shared" si="20"/>
        <v>0.0075</v>
      </c>
      <c r="E85" s="86">
        <f t="shared" si="20"/>
        <v>0.0075</v>
      </c>
      <c r="F85" s="86">
        <f t="shared" si="20"/>
        <v>0.015</v>
      </c>
      <c r="G85" s="86">
        <f t="shared" si="20"/>
        <v>0.015</v>
      </c>
      <c r="H85" s="86">
        <f t="shared" si="20"/>
        <v>0.015</v>
      </c>
      <c r="I85" s="86">
        <f t="shared" si="20"/>
        <v>0.0225</v>
      </c>
      <c r="J85" s="86">
        <f t="shared" si="20"/>
        <v>0.045</v>
      </c>
      <c r="K85" s="87">
        <f>SUM(C85:J85)</f>
        <v>0.135</v>
      </c>
      <c r="L85" s="7"/>
      <c r="M85" s="70"/>
      <c r="N85" s="5"/>
      <c r="O85" s="63"/>
      <c r="P85" s="63"/>
      <c r="Q85" s="63"/>
      <c r="R85" s="63"/>
      <c r="S85" s="71"/>
      <c r="T85" s="66"/>
      <c r="U85" s="66"/>
      <c r="V85" s="66"/>
      <c r="W85" s="66"/>
      <c r="X85" s="66"/>
      <c r="Y85" s="67"/>
    </row>
    <row r="86" s="1" customFormat="1" spans="2:25">
      <c r="B86" s="115" t="s">
        <v>67</v>
      </c>
      <c r="C86" s="116">
        <f t="shared" ref="C86:J86" si="21">(C85-C79)/C85</f>
        <v>0.84</v>
      </c>
      <c r="D86" s="116">
        <f t="shared" si="21"/>
        <v>0.2</v>
      </c>
      <c r="E86" s="116">
        <f t="shared" si="21"/>
        <v>-0.6</v>
      </c>
      <c r="F86" s="116">
        <f t="shared" si="21"/>
        <v>-0.2</v>
      </c>
      <c r="G86" s="116">
        <f t="shared" si="21"/>
        <v>-0.6</v>
      </c>
      <c r="H86" s="116">
        <f t="shared" si="21"/>
        <v>-1</v>
      </c>
      <c r="I86" s="116">
        <f t="shared" si="21"/>
        <v>-0.6</v>
      </c>
      <c r="J86" s="116">
        <f t="shared" si="21"/>
        <v>-0.6</v>
      </c>
      <c r="K86" s="117" cm="1">
        <f t="array" ref="K86">(SUMPRODUCT(C73:J73,C85:J85)-SUMPRODUCT(C79:J79,C73:J73))/SUMPRODUCT(C73:J73,C85:J85)</f>
        <v>-0.29285140562249</v>
      </c>
      <c r="L86" s="7"/>
      <c r="M86" s="70"/>
      <c r="N86" s="5"/>
      <c r="O86" s="63"/>
      <c r="P86" s="63"/>
      <c r="Q86" s="63"/>
      <c r="R86" s="63"/>
      <c r="S86" s="71"/>
      <c r="T86" s="66"/>
      <c r="U86" s="66"/>
      <c r="V86" s="66"/>
      <c r="W86" s="66"/>
      <c r="X86" s="66"/>
      <c r="Y86" s="67"/>
    </row>
    <row r="87" s="1" customFormat="1" spans="2:25">
      <c r="B87" s="118" t="s">
        <v>119</v>
      </c>
      <c r="C87" s="96">
        <f t="shared" ref="C87:J87" si="22">10*0.3+5*0.7</f>
        <v>6.5</v>
      </c>
      <c r="D87" s="96">
        <f t="shared" si="22"/>
        <v>6.5</v>
      </c>
      <c r="E87" s="96">
        <f t="shared" si="22"/>
        <v>6.5</v>
      </c>
      <c r="F87" s="96">
        <f t="shared" si="22"/>
        <v>6.5</v>
      </c>
      <c r="G87" s="96">
        <f t="shared" si="22"/>
        <v>6.5</v>
      </c>
      <c r="H87" s="96">
        <f t="shared" si="22"/>
        <v>6.5</v>
      </c>
      <c r="I87" s="96">
        <f t="shared" si="22"/>
        <v>6.5</v>
      </c>
      <c r="J87" s="96">
        <f t="shared" si="22"/>
        <v>6.5</v>
      </c>
      <c r="K87" s="119"/>
      <c r="L87" s="7"/>
      <c r="M87" s="70"/>
      <c r="N87" s="5"/>
      <c r="O87" s="63"/>
      <c r="P87" s="63"/>
      <c r="Q87" s="63"/>
      <c r="R87" s="63"/>
      <c r="S87" s="71"/>
      <c r="T87" s="66"/>
      <c r="U87" s="66"/>
      <c r="V87" s="66"/>
      <c r="W87" s="66"/>
      <c r="X87" s="66"/>
      <c r="Y87" s="67"/>
    </row>
    <row r="88" s="1" customFormat="1" spans="2:25">
      <c r="B88" s="54" t="s">
        <v>121</v>
      </c>
      <c r="C88" s="86">
        <f t="shared" ref="C88:J88" si="23">C87*C83/1000</f>
        <v>0.0065</v>
      </c>
      <c r="D88" s="86">
        <f t="shared" si="23"/>
        <v>0.0065</v>
      </c>
      <c r="E88" s="86">
        <f t="shared" si="23"/>
        <v>0.0065</v>
      </c>
      <c r="F88" s="86">
        <f t="shared" si="23"/>
        <v>0.013</v>
      </c>
      <c r="G88" s="86">
        <f t="shared" si="23"/>
        <v>0.013</v>
      </c>
      <c r="H88" s="86">
        <f t="shared" si="23"/>
        <v>0.013</v>
      </c>
      <c r="I88" s="86">
        <f t="shared" si="23"/>
        <v>0.0195</v>
      </c>
      <c r="J88" s="86">
        <f t="shared" si="23"/>
        <v>0.039</v>
      </c>
      <c r="K88" s="87">
        <f>SUM(C88:J88)</f>
        <v>0.117</v>
      </c>
      <c r="L88" s="7"/>
      <c r="M88" s="98"/>
      <c r="N88" s="97"/>
      <c r="O88" s="97"/>
      <c r="P88" s="97"/>
      <c r="Q88" s="97"/>
      <c r="R88" s="97"/>
      <c r="S88" s="85"/>
      <c r="T88" s="66"/>
      <c r="U88" s="66"/>
      <c r="V88" s="66"/>
      <c r="W88" s="66"/>
      <c r="X88" s="66"/>
      <c r="Y88" s="67"/>
    </row>
    <row r="89" s="1" customFormat="1" ht="17.25" spans="2:25">
      <c r="B89" s="54" t="s">
        <v>67</v>
      </c>
      <c r="C89" s="85">
        <f t="shared" ref="C89:J89" si="24">(C88-C79)/C88</f>
        <v>0.815384615384615</v>
      </c>
      <c r="D89" s="85">
        <f t="shared" si="24"/>
        <v>0.0769230769230769</v>
      </c>
      <c r="E89" s="85">
        <f t="shared" si="24"/>
        <v>-0.846153846153846</v>
      </c>
      <c r="F89" s="85">
        <f t="shared" si="24"/>
        <v>-0.384615384615385</v>
      </c>
      <c r="G89" s="85">
        <f t="shared" si="24"/>
        <v>-0.846153846153846</v>
      </c>
      <c r="H89" s="85">
        <f t="shared" si="24"/>
        <v>-1.30769230769231</v>
      </c>
      <c r="I89" s="85">
        <f t="shared" si="24"/>
        <v>-0.846153846153846</v>
      </c>
      <c r="J89" s="85">
        <f t="shared" si="24"/>
        <v>-0.846153846153846</v>
      </c>
      <c r="K89" s="73" cm="1">
        <f t="array" ref="K89">(SUMPRODUCT(C73:J73,C88:J88)-SUMPRODUCT(C79:J79,C73:J73))/SUMPRODUCT(C73:J73,C88:J88)</f>
        <v>-0.491751621872104</v>
      </c>
      <c r="L89" s="7"/>
      <c r="M89" s="99"/>
      <c r="N89" s="100"/>
      <c r="O89" s="100"/>
      <c r="P89" s="100"/>
      <c r="Q89" s="100"/>
      <c r="R89" s="100"/>
      <c r="S89" s="101"/>
      <c r="T89" s="102"/>
      <c r="U89" s="102"/>
      <c r="V89" s="102"/>
      <c r="W89" s="102"/>
      <c r="X89" s="102"/>
      <c r="Y89" s="103"/>
    </row>
    <row r="90" s="1" customFormat="1" spans="2:25">
      <c r="B90" s="95" t="s">
        <v>122</v>
      </c>
      <c r="C90" s="97">
        <v>4</v>
      </c>
      <c r="D90" s="97">
        <v>4</v>
      </c>
      <c r="E90" s="97">
        <v>4</v>
      </c>
      <c r="F90" s="97">
        <v>4</v>
      </c>
      <c r="G90" s="97">
        <v>4</v>
      </c>
      <c r="H90" s="97">
        <v>4</v>
      </c>
      <c r="I90" s="97">
        <v>4</v>
      </c>
      <c r="J90" s="97">
        <v>4</v>
      </c>
      <c r="K90" s="73"/>
      <c r="L90" s="7"/>
      <c r="M90" s="104"/>
      <c r="N90" s="105"/>
      <c r="O90" s="105"/>
      <c r="P90" s="105"/>
      <c r="Q90" s="105"/>
      <c r="R90" s="105"/>
      <c r="S90" s="106"/>
      <c r="T90" s="104"/>
      <c r="U90" s="104"/>
      <c r="V90" s="104"/>
      <c r="W90" s="104"/>
      <c r="X90" s="104"/>
      <c r="Y90" s="104"/>
    </row>
    <row r="91" s="1" customFormat="1" spans="2:25">
      <c r="B91" s="54" t="s">
        <v>121</v>
      </c>
      <c r="C91" s="86">
        <f>C90*C83/1000</f>
        <v>0.004</v>
      </c>
      <c r="D91" s="86">
        <f t="shared" ref="C91:J91" si="25">D90*D83/1000</f>
        <v>0.004</v>
      </c>
      <c r="E91" s="86">
        <f t="shared" si="25"/>
        <v>0.004</v>
      </c>
      <c r="F91" s="86">
        <f t="shared" si="25"/>
        <v>0.008</v>
      </c>
      <c r="G91" s="86">
        <f t="shared" si="25"/>
        <v>0.008</v>
      </c>
      <c r="H91" s="86">
        <f t="shared" si="25"/>
        <v>0.008</v>
      </c>
      <c r="I91" s="86">
        <f t="shared" si="25"/>
        <v>0.012</v>
      </c>
      <c r="J91" s="86">
        <f t="shared" si="25"/>
        <v>0.024</v>
      </c>
      <c r="K91" s="73"/>
      <c r="L91" s="7"/>
      <c r="M91" s="104"/>
      <c r="N91" s="105"/>
      <c r="O91" s="105"/>
      <c r="P91" s="105"/>
      <c r="Q91" s="105"/>
      <c r="R91" s="105"/>
      <c r="S91" s="106"/>
      <c r="T91" s="104"/>
      <c r="U91" s="104"/>
      <c r="V91" s="104"/>
      <c r="W91" s="104"/>
      <c r="X91" s="104"/>
      <c r="Y91" s="104"/>
    </row>
    <row r="92" s="1" customFormat="1" ht="17.25" spans="2:25">
      <c r="B92" s="107" t="s">
        <v>67</v>
      </c>
      <c r="C92" s="101">
        <f>(C91-C79)/C91</f>
        <v>0.7</v>
      </c>
      <c r="D92" s="101">
        <f t="shared" ref="C92:J92" si="26">(D91-D79)/D91</f>
        <v>-0.5</v>
      </c>
      <c r="E92" s="101">
        <f t="shared" si="26"/>
        <v>-2</v>
      </c>
      <c r="F92" s="101">
        <f t="shared" si="26"/>
        <v>-1.25</v>
      </c>
      <c r="G92" s="101">
        <f t="shared" si="26"/>
        <v>-2</v>
      </c>
      <c r="H92" s="101">
        <f t="shared" si="26"/>
        <v>-2.75</v>
      </c>
      <c r="I92" s="101">
        <f t="shared" si="26"/>
        <v>-2</v>
      </c>
      <c r="J92" s="101">
        <f t="shared" si="26"/>
        <v>-2</v>
      </c>
      <c r="K92" s="108" cm="1">
        <f t="array" ref="K92">(SUMPRODUCT(C73:J73,C91:J91)-SUMPRODUCT(C79:J79,C73:J73))/SUMPRODUCT(C73:J73,C91:J91)</f>
        <v>-1.42409638554217</v>
      </c>
      <c r="L92" s="7"/>
      <c r="M92" s="104"/>
      <c r="N92" s="105"/>
      <c r="O92" s="105"/>
      <c r="P92" s="105"/>
      <c r="Q92" s="105"/>
      <c r="R92" s="105"/>
      <c r="S92" s="106"/>
      <c r="T92" s="104"/>
      <c r="U92" s="104"/>
      <c r="V92" s="104"/>
      <c r="W92" s="104"/>
      <c r="X92" s="104"/>
      <c r="Y92" s="104"/>
    </row>
    <row r="93" s="1" customFormat="1" spans="2:25">
      <c r="B93" s="109"/>
      <c r="C93" s="1"/>
      <c r="D93" s="1"/>
      <c r="E93" s="1"/>
      <c r="F93" s="1"/>
      <c r="G93" s="1"/>
      <c r="H93" s="1"/>
      <c r="I93" s="1"/>
      <c r="J93" s="1"/>
      <c r="K93" s="1"/>
      <c r="L93" s="7"/>
      <c r="M93" s="7"/>
      <c r="N93" s="7"/>
    </row>
    <row r="94" s="1" customFormat="1" spans="2:25">
      <c r="B94" s="109"/>
      <c r="C94" s="1"/>
      <c r="D94" s="1"/>
      <c r="E94" s="1"/>
      <c r="F94" s="1"/>
      <c r="G94" s="1"/>
      <c r="H94" s="1"/>
      <c r="I94" s="1"/>
      <c r="J94" s="1"/>
      <c r="K94" s="1"/>
      <c r="L94" s="7"/>
      <c r="M94" s="7"/>
      <c r="N94" s="7"/>
    </row>
    <row r="95" s="1" customFormat="1" spans="2:25">
      <c r="B95" s="48" t="s">
        <v>144</v>
      </c>
      <c r="C95" s="48"/>
      <c r="D95" s="48"/>
      <c r="E95" s="48"/>
      <c r="F95" s="48"/>
      <c r="G95" s="48"/>
      <c r="H95" s="48"/>
      <c r="I95" s="48"/>
      <c r="J95" s="48"/>
      <c r="K95" s="48"/>
      <c r="L95" s="7"/>
      <c r="M95" s="7"/>
      <c r="N95" s="7"/>
    </row>
    <row r="96" s="1" customFormat="1" spans="2:25"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7"/>
      <c r="M96" s="7"/>
      <c r="N96" s="7"/>
    </row>
    <row r="97" s="1" customFormat="1" ht="17.25" spans="2:25"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7"/>
      <c r="M97" s="7"/>
      <c r="N97" s="7"/>
    </row>
    <row r="98" s="1" customFormat="1" spans="2:25">
      <c r="B98" s="120" t="s">
        <v>51</v>
      </c>
      <c r="C98" s="50" t="s">
        <v>83</v>
      </c>
      <c r="D98" s="50"/>
      <c r="E98" s="50"/>
      <c r="F98" s="50"/>
      <c r="G98" s="50"/>
      <c r="H98" s="50"/>
      <c r="I98" s="50"/>
      <c r="J98" s="50"/>
      <c r="K98" s="51"/>
      <c r="L98" s="7"/>
      <c r="M98" s="52" t="s">
        <v>51</v>
      </c>
      <c r="N98" s="53" t="s">
        <v>84</v>
      </c>
      <c r="O98" s="53"/>
      <c r="P98" s="53"/>
      <c r="Q98" s="53"/>
      <c r="R98" s="53"/>
      <c r="S98" s="53"/>
      <c r="T98" s="50" t="s">
        <v>85</v>
      </c>
      <c r="U98" s="50"/>
      <c r="V98" s="50"/>
      <c r="W98" s="50"/>
      <c r="X98" s="50"/>
      <c r="Y98" s="51"/>
    </row>
    <row r="99" s="1" customFormat="1" spans="2:25">
      <c r="B99" s="121"/>
      <c r="C99" s="110" t="s">
        <v>86</v>
      </c>
      <c r="D99" s="110" t="s">
        <v>87</v>
      </c>
      <c r="E99" s="110" t="s">
        <v>88</v>
      </c>
      <c r="F99" s="110" t="s">
        <v>89</v>
      </c>
      <c r="G99" s="110" t="s">
        <v>90</v>
      </c>
      <c r="H99" s="110" t="s">
        <v>91</v>
      </c>
      <c r="I99" s="110" t="s">
        <v>92</v>
      </c>
      <c r="J99" s="110" t="s">
        <v>93</v>
      </c>
      <c r="K99" s="111" t="s">
        <v>52</v>
      </c>
      <c r="L99" s="7"/>
      <c r="M99" s="56"/>
      <c r="N99" s="57" t="s">
        <v>94</v>
      </c>
      <c r="O99" s="57" t="s">
        <v>95</v>
      </c>
      <c r="P99" s="57" t="s">
        <v>96</v>
      </c>
      <c r="Q99" s="4" t="s">
        <v>97</v>
      </c>
      <c r="R99" s="4"/>
      <c r="S99" s="58" t="s">
        <v>67</v>
      </c>
      <c r="T99" s="3"/>
      <c r="U99" s="3"/>
      <c r="V99" s="3"/>
      <c r="W99" s="3"/>
      <c r="X99" s="3"/>
      <c r="Y99" s="55"/>
    </row>
    <row r="100" s="1" customFormat="1" spans="2:25">
      <c r="B100" s="115"/>
      <c r="C100" s="112"/>
      <c r="D100" s="112"/>
      <c r="E100" s="112"/>
      <c r="F100" s="112"/>
      <c r="G100" s="112"/>
      <c r="H100" s="112"/>
      <c r="I100" s="112"/>
      <c r="J100" s="112"/>
      <c r="K100" s="113"/>
      <c r="L100" s="7"/>
      <c r="M100" s="56"/>
      <c r="N100" s="57"/>
      <c r="O100" s="57"/>
      <c r="P100" s="57"/>
      <c r="Q100" s="4" t="s">
        <v>99</v>
      </c>
      <c r="R100" s="4" t="s">
        <v>100</v>
      </c>
      <c r="S100" s="58"/>
      <c r="T100" s="3"/>
      <c r="U100" s="3"/>
      <c r="V100" s="3"/>
      <c r="W100" s="3"/>
      <c r="X100" s="3"/>
      <c r="Y100" s="55"/>
    </row>
    <row r="101" s="1" customFormat="1" spans="2:25">
      <c r="B101" s="59" t="s">
        <v>101</v>
      </c>
      <c r="C101" s="60"/>
      <c r="D101" s="60"/>
      <c r="E101" s="60"/>
      <c r="F101" s="60"/>
      <c r="G101" s="60"/>
      <c r="H101" s="60"/>
      <c r="I101" s="60"/>
      <c r="J101" s="60"/>
      <c r="K101" s="61"/>
      <c r="L101" s="7"/>
      <c r="M101" s="62" t="s">
        <v>102</v>
      </c>
      <c r="N101" s="63" cm="1">
        <f t="array" ref="N101">SUMPRODUCT(C102:J102,C114:J114)*30/10000</f>
        <v>9.7875</v>
      </c>
      <c r="O101" s="63" cm="1">
        <f t="array" ref="O101">SUMPRODUCT(C108:J108,C102:J102)*30/10000</f>
        <v>15.408</v>
      </c>
      <c r="P101" s="63">
        <f>N101-O101</f>
        <v>-5.6205</v>
      </c>
      <c r="Q101" s="63"/>
      <c r="R101" s="63"/>
      <c r="S101" s="64">
        <f>P101/N101</f>
        <v>-0.574252873563218</v>
      </c>
      <c r="T101" s="65" t="s">
        <v>145</v>
      </c>
      <c r="U101" s="66"/>
      <c r="V101" s="66"/>
      <c r="W101" s="66"/>
      <c r="X101" s="66"/>
      <c r="Y101" s="67"/>
    </row>
    <row r="102" s="1" customFormat="1" spans="2:25">
      <c r="B102" s="54" t="s">
        <v>0</v>
      </c>
      <c r="C102" s="68">
        <f t="shared" ref="C102:J102" si="27">ROUND(C103*$K$44,0)</f>
        <v>5000</v>
      </c>
      <c r="D102" s="68">
        <f t="shared" si="27"/>
        <v>5000</v>
      </c>
      <c r="E102" s="68">
        <f t="shared" si="27"/>
        <v>5000</v>
      </c>
      <c r="F102" s="68">
        <f t="shared" si="27"/>
        <v>5000</v>
      </c>
      <c r="G102" s="68">
        <f t="shared" si="27"/>
        <v>5000</v>
      </c>
      <c r="H102" s="68">
        <f t="shared" si="27"/>
        <v>5000</v>
      </c>
      <c r="I102" s="68">
        <f t="shared" si="27"/>
        <v>10000</v>
      </c>
      <c r="J102" s="68">
        <f t="shared" si="27"/>
        <v>60000</v>
      </c>
      <c r="K102" s="69">
        <v>100000</v>
      </c>
      <c r="L102" s="7"/>
      <c r="M102" s="70" t="s">
        <v>116</v>
      </c>
      <c r="N102" s="63">
        <f>200/N101*10/12</f>
        <v>17.0285227756492</v>
      </c>
      <c r="O102" s="63"/>
      <c r="P102" s="63"/>
      <c r="Q102" s="63"/>
      <c r="R102" s="63"/>
      <c r="S102" s="71"/>
      <c r="T102" s="66"/>
      <c r="U102" s="66"/>
      <c r="V102" s="66"/>
      <c r="W102" s="66"/>
      <c r="X102" s="66"/>
      <c r="Y102" s="67"/>
    </row>
    <row r="103" s="1" customFormat="1" spans="2:25">
      <c r="B103" s="54" t="s">
        <v>16</v>
      </c>
      <c r="C103" s="72">
        <v>0.05</v>
      </c>
      <c r="D103" s="72">
        <v>0.05</v>
      </c>
      <c r="E103" s="72">
        <v>0.05</v>
      </c>
      <c r="F103" s="72">
        <v>0.05</v>
      </c>
      <c r="G103" s="72">
        <v>0.05</v>
      </c>
      <c r="H103" s="72">
        <v>0.05</v>
      </c>
      <c r="I103" s="72">
        <v>0.1</v>
      </c>
      <c r="J103" s="72">
        <v>0.6</v>
      </c>
      <c r="K103" s="73">
        <f>SUM(C103:J103)</f>
        <v>1</v>
      </c>
      <c r="L103" s="7"/>
      <c r="M103" s="74"/>
      <c r="N103" s="75"/>
      <c r="O103" s="75"/>
      <c r="P103" s="75"/>
      <c r="Q103" s="75"/>
      <c r="R103" s="75"/>
      <c r="S103" s="76"/>
      <c r="T103" s="66"/>
      <c r="U103" s="66"/>
      <c r="V103" s="66"/>
      <c r="W103" s="66"/>
      <c r="X103" s="66"/>
      <c r="Y103" s="67"/>
    </row>
    <row r="104" s="1" customFormat="1" spans="2:25">
      <c r="B104" s="59" t="s">
        <v>112</v>
      </c>
      <c r="C104" s="60"/>
      <c r="D104" s="60"/>
      <c r="E104" s="60"/>
      <c r="F104" s="60"/>
      <c r="G104" s="60"/>
      <c r="H104" s="60"/>
      <c r="I104" s="60"/>
      <c r="J104" s="60"/>
      <c r="K104" s="61"/>
      <c r="L104" s="7"/>
      <c r="M104" s="77"/>
      <c r="N104" s="78"/>
      <c r="O104" s="78"/>
      <c r="P104" s="78"/>
      <c r="Q104" s="78"/>
      <c r="R104" s="78"/>
      <c r="S104" s="79"/>
      <c r="T104" s="66"/>
      <c r="U104" s="66"/>
      <c r="V104" s="66"/>
      <c r="W104" s="66"/>
      <c r="X104" s="66"/>
      <c r="Y104" s="67"/>
    </row>
    <row r="105" s="1" customFormat="1" spans="2:25">
      <c r="B105" s="54" t="s">
        <v>113</v>
      </c>
      <c r="C105" s="80">
        <v>1</v>
      </c>
      <c r="D105" s="80">
        <v>5</v>
      </c>
      <c r="E105" s="80">
        <v>10</v>
      </c>
      <c r="F105" s="80">
        <v>15</v>
      </c>
      <c r="G105" s="80">
        <v>20</v>
      </c>
      <c r="H105" s="80">
        <v>25</v>
      </c>
      <c r="I105" s="80">
        <v>30</v>
      </c>
      <c r="J105" s="80">
        <v>60</v>
      </c>
      <c r="K105" s="55"/>
      <c r="L105" s="7"/>
      <c r="M105" s="81" t="s">
        <v>119</v>
      </c>
      <c r="N105" s="82" cm="1">
        <f t="array" ref="N105">SUMPRODUCT(C102:J102,C117:J117)*30/10000</f>
        <v>8.4825</v>
      </c>
      <c r="O105" s="82" cm="1">
        <f t="array" ref="O105">SUMPRODUCT(C108:J108,C102:J102)*30/10000</f>
        <v>15.408</v>
      </c>
      <c r="P105" s="83">
        <f>N105-O105</f>
        <v>-6.9255</v>
      </c>
      <c r="Q105" s="63"/>
      <c r="R105" s="63"/>
      <c r="S105" s="64">
        <f>P105/N105</f>
        <v>-0.816445623342175</v>
      </c>
      <c r="T105" s="66"/>
      <c r="U105" s="66"/>
      <c r="V105" s="66"/>
      <c r="W105" s="66"/>
      <c r="X105" s="66"/>
      <c r="Y105" s="67"/>
    </row>
    <row r="106" s="1" customFormat="1" spans="2:25">
      <c r="B106" s="54" t="s">
        <v>68</v>
      </c>
      <c r="C106" s="84">
        <v>4</v>
      </c>
      <c r="D106" s="84">
        <v>4</v>
      </c>
      <c r="E106" s="84">
        <v>4</v>
      </c>
      <c r="F106" s="84">
        <v>4</v>
      </c>
      <c r="G106" s="84">
        <v>4</v>
      </c>
      <c r="H106" s="84">
        <v>4</v>
      </c>
      <c r="I106" s="84">
        <v>4</v>
      </c>
      <c r="J106" s="84">
        <v>4</v>
      </c>
      <c r="K106" s="55"/>
      <c r="L106" s="7"/>
      <c r="M106" s="70" t="s">
        <v>116</v>
      </c>
      <c r="N106" s="63">
        <f>200/N105*10/12</f>
        <v>19.6482955103645</v>
      </c>
      <c r="O106" s="63"/>
      <c r="P106" s="63"/>
      <c r="Q106" s="63"/>
      <c r="R106" s="63"/>
      <c r="S106" s="71"/>
      <c r="T106" s="66"/>
      <c r="U106" s="66"/>
      <c r="V106" s="66"/>
      <c r="W106" s="66"/>
      <c r="X106" s="66"/>
      <c r="Y106" s="67"/>
    </row>
    <row r="107" s="1" customFormat="1" spans="2:25">
      <c r="B107" s="54" t="s">
        <v>80</v>
      </c>
      <c r="C107" s="84">
        <v>0.04</v>
      </c>
      <c r="D107" s="84">
        <v>0.04</v>
      </c>
      <c r="E107" s="84">
        <v>0.04</v>
      </c>
      <c r="F107" s="84">
        <v>0.04</v>
      </c>
      <c r="G107" s="84">
        <v>0.04</v>
      </c>
      <c r="H107" s="84">
        <v>0.04</v>
      </c>
      <c r="I107" s="84">
        <v>0.04</v>
      </c>
      <c r="J107" s="84">
        <v>0.04</v>
      </c>
      <c r="K107" s="55"/>
      <c r="L107" s="7"/>
      <c r="M107" s="70"/>
      <c r="N107" s="63"/>
      <c r="O107" s="63"/>
      <c r="P107" s="63"/>
      <c r="Q107" s="63"/>
      <c r="R107" s="63"/>
      <c r="S107" s="85"/>
      <c r="T107" s="66"/>
      <c r="U107" s="66"/>
      <c r="V107" s="66"/>
      <c r="W107" s="66"/>
      <c r="X107" s="66"/>
      <c r="Y107" s="67"/>
    </row>
    <row r="108" s="1" customFormat="1" spans="2:25">
      <c r="B108" s="54" t="s">
        <v>117</v>
      </c>
      <c r="C108" s="86">
        <f t="shared" ref="C108:J108" si="28">C105*C106*C107*60/1000/8</f>
        <v>0.0012</v>
      </c>
      <c r="D108" s="86">
        <f t="shared" si="28"/>
        <v>0.006</v>
      </c>
      <c r="E108" s="86">
        <f t="shared" si="28"/>
        <v>0.012</v>
      </c>
      <c r="F108" s="86">
        <f t="shared" si="28"/>
        <v>0.018</v>
      </c>
      <c r="G108" s="86">
        <f t="shared" si="28"/>
        <v>0.024</v>
      </c>
      <c r="H108" s="86">
        <f t="shared" si="28"/>
        <v>0.03</v>
      </c>
      <c r="I108" s="86">
        <f t="shared" si="28"/>
        <v>0.036</v>
      </c>
      <c r="J108" s="86">
        <f t="shared" si="28"/>
        <v>0.072</v>
      </c>
      <c r="K108" s="87">
        <f>SUM(C108:J108)</f>
        <v>0.1992</v>
      </c>
      <c r="L108" s="7"/>
      <c r="M108" s="81" t="s">
        <v>122</v>
      </c>
      <c r="N108" s="82" cm="1">
        <f t="array" ref="N108">SUMPRODUCT(C102:J102,C120:J120)*30/10000</f>
        <v>5.22</v>
      </c>
      <c r="O108" s="82" cm="1">
        <f t="array" ref="O108">SUMPRODUCT(C108:J108,C102:J102)*30/10000</f>
        <v>15.408</v>
      </c>
      <c r="P108" s="83">
        <f>N108-O108</f>
        <v>-10.188</v>
      </c>
      <c r="Q108" s="63"/>
      <c r="R108" s="63"/>
      <c r="S108" s="64">
        <f>P108/N108</f>
        <v>-1.95172413793103</v>
      </c>
      <c r="T108" s="66"/>
      <c r="U108" s="66"/>
      <c r="V108" s="66"/>
      <c r="W108" s="66"/>
      <c r="X108" s="66"/>
      <c r="Y108" s="67"/>
    </row>
    <row r="109" s="1" customFormat="1" spans="2:25">
      <c r="B109" s="88" t="s">
        <v>33</v>
      </c>
      <c r="C109" s="86">
        <f t="shared" ref="C109:J109" si="29">C108/C112*1000</f>
        <v>1.2</v>
      </c>
      <c r="D109" s="86">
        <f t="shared" si="29"/>
        <v>6</v>
      </c>
      <c r="E109" s="86">
        <f t="shared" si="29"/>
        <v>12</v>
      </c>
      <c r="F109" s="86">
        <f t="shared" si="29"/>
        <v>9</v>
      </c>
      <c r="G109" s="86">
        <f t="shared" si="29"/>
        <v>12</v>
      </c>
      <c r="H109" s="86">
        <f t="shared" si="29"/>
        <v>15</v>
      </c>
      <c r="I109" s="86">
        <f t="shared" si="29"/>
        <v>12</v>
      </c>
      <c r="J109" s="86">
        <f t="shared" si="29"/>
        <v>12</v>
      </c>
      <c r="K109" s="89" cm="1">
        <f t="array" ref="K109">SUMPRODUCT(C108:J108,C102:J102)/SUMPRODUCT(C112:J112,C102:J102)*1000</f>
        <v>11.8068965517241</v>
      </c>
      <c r="L109" s="7"/>
      <c r="M109" s="70" t="s">
        <v>116</v>
      </c>
      <c r="N109" s="63">
        <f>200/N108*10/12</f>
        <v>31.9284802043423</v>
      </c>
      <c r="O109" s="63"/>
      <c r="P109" s="63"/>
      <c r="Q109" s="63"/>
      <c r="R109" s="63"/>
      <c r="S109" s="71"/>
      <c r="T109" s="66"/>
      <c r="U109" s="66"/>
      <c r="V109" s="66"/>
      <c r="W109" s="66"/>
      <c r="X109" s="66"/>
      <c r="Y109" s="67"/>
    </row>
    <row r="110" s="1" customFormat="1" spans="2:25">
      <c r="B110" s="59" t="s">
        <v>146</v>
      </c>
      <c r="C110" s="60"/>
      <c r="D110" s="60"/>
      <c r="E110" s="60"/>
      <c r="F110" s="60"/>
      <c r="G110" s="60"/>
      <c r="H110" s="60"/>
      <c r="I110" s="60"/>
      <c r="J110" s="60"/>
      <c r="K110" s="61"/>
      <c r="L110" s="7"/>
      <c r="M110" s="70"/>
      <c r="N110" s="5"/>
      <c r="O110" s="63"/>
      <c r="P110" s="63"/>
      <c r="Q110" s="63"/>
      <c r="R110" s="63"/>
      <c r="S110" s="71"/>
      <c r="T110" s="66"/>
      <c r="U110" s="66"/>
      <c r="V110" s="66"/>
      <c r="W110" s="66"/>
      <c r="X110" s="66"/>
      <c r="Y110" s="67"/>
    </row>
    <row r="111" s="1" customFormat="1" ht="30" spans="2:25">
      <c r="B111" s="59" t="s">
        <v>120</v>
      </c>
      <c r="C111" s="60"/>
      <c r="D111" s="60"/>
      <c r="E111" s="60"/>
      <c r="F111" s="60"/>
      <c r="G111" s="60"/>
      <c r="H111" s="60"/>
      <c r="I111" s="60"/>
      <c r="J111" s="60"/>
      <c r="K111" s="61"/>
      <c r="L111" s="7"/>
      <c r="M111" s="93" t="s">
        <v>128</v>
      </c>
      <c r="N111" s="82" cm="1">
        <f t="array" ref="N111">SUMPRODUCT(C102:J102,C114:J114)*30/C113*18/10000</f>
        <v>23.49</v>
      </c>
      <c r="O111" s="82">
        <f>O101</f>
        <v>15.408</v>
      </c>
      <c r="P111" s="82">
        <f>N111-O111</f>
        <v>8.082</v>
      </c>
      <c r="Q111" s="82">
        <f>P111*0.7</f>
        <v>5.6574</v>
      </c>
      <c r="R111" s="82">
        <f>P111*0.5</f>
        <v>4.041</v>
      </c>
      <c r="S111" s="94">
        <f>P111/N111</f>
        <v>0.344061302681992</v>
      </c>
      <c r="T111" s="66"/>
      <c r="U111" s="66"/>
      <c r="V111" s="66"/>
      <c r="W111" s="66"/>
      <c r="X111" s="66"/>
      <c r="Y111" s="67"/>
    </row>
    <row r="112" s="1" customFormat="1" spans="2:25">
      <c r="B112" s="54" t="s">
        <v>20</v>
      </c>
      <c r="C112" s="84">
        <f>MIN(1+INT(C105/5),8)</f>
        <v>1</v>
      </c>
      <c r="D112" s="84">
        <f t="shared" ref="D112:I112" si="30">1+INT(D105/15)</f>
        <v>1</v>
      </c>
      <c r="E112" s="84">
        <f t="shared" si="30"/>
        <v>1</v>
      </c>
      <c r="F112" s="84">
        <f t="shared" si="30"/>
        <v>2</v>
      </c>
      <c r="G112" s="84">
        <f t="shared" si="30"/>
        <v>2</v>
      </c>
      <c r="H112" s="84">
        <f t="shared" si="30"/>
        <v>2</v>
      </c>
      <c r="I112" s="84">
        <f t="shared" si="30"/>
        <v>3</v>
      </c>
      <c r="J112" s="84">
        <f>1+INT(30/15)+INT((J105-30)/10)</f>
        <v>6</v>
      </c>
      <c r="K112" s="55"/>
      <c r="L112" s="7"/>
      <c r="M112" s="70" t="s">
        <v>116</v>
      </c>
      <c r="N112" s="82">
        <f>200/N111/12*10</f>
        <v>7.09521782318717</v>
      </c>
      <c r="O112" s="82"/>
      <c r="P112" s="82"/>
      <c r="Q112" s="82"/>
      <c r="R112" s="82"/>
      <c r="S112" s="82"/>
      <c r="T112" s="66"/>
      <c r="U112" s="66"/>
      <c r="V112" s="66"/>
      <c r="W112" s="66"/>
      <c r="X112" s="66"/>
      <c r="Y112" s="67"/>
    </row>
    <row r="113" s="1" customFormat="1" spans="2:25">
      <c r="B113" s="114" t="s">
        <v>102</v>
      </c>
      <c r="C113" s="96">
        <f t="shared" ref="C113:J113" si="31">10*0.5+5*0.5</f>
        <v>7.5</v>
      </c>
      <c r="D113" s="96">
        <f t="shared" si="31"/>
        <v>7.5</v>
      </c>
      <c r="E113" s="96">
        <f t="shared" si="31"/>
        <v>7.5</v>
      </c>
      <c r="F113" s="96">
        <f t="shared" si="31"/>
        <v>7.5</v>
      </c>
      <c r="G113" s="96">
        <f t="shared" si="31"/>
        <v>7.5</v>
      </c>
      <c r="H113" s="96">
        <f t="shared" si="31"/>
        <v>7.5</v>
      </c>
      <c r="I113" s="96">
        <f t="shared" si="31"/>
        <v>7.5</v>
      </c>
      <c r="J113" s="96">
        <f t="shared" si="31"/>
        <v>7.5</v>
      </c>
      <c r="K113" s="87"/>
      <c r="L113" s="7"/>
      <c r="M113" s="70"/>
      <c r="N113" s="5"/>
      <c r="O113" s="63"/>
      <c r="P113" s="63"/>
      <c r="Q113" s="63"/>
      <c r="R113" s="63"/>
      <c r="S113" s="71"/>
      <c r="T113" s="66"/>
      <c r="U113" s="66"/>
      <c r="V113" s="66"/>
      <c r="W113" s="66"/>
      <c r="X113" s="66"/>
      <c r="Y113" s="67"/>
    </row>
    <row r="114" s="1" customFormat="1" spans="2:25">
      <c r="B114" s="54" t="s">
        <v>121</v>
      </c>
      <c r="C114" s="86">
        <f t="shared" ref="C114:J114" si="32">C113*C112/1000</f>
        <v>0.0075</v>
      </c>
      <c r="D114" s="86">
        <f t="shared" si="32"/>
        <v>0.0075</v>
      </c>
      <c r="E114" s="86">
        <f t="shared" si="32"/>
        <v>0.0075</v>
      </c>
      <c r="F114" s="86">
        <f t="shared" si="32"/>
        <v>0.015</v>
      </c>
      <c r="G114" s="86">
        <f t="shared" si="32"/>
        <v>0.015</v>
      </c>
      <c r="H114" s="86">
        <f t="shared" si="32"/>
        <v>0.015</v>
      </c>
      <c r="I114" s="86">
        <f t="shared" si="32"/>
        <v>0.0225</v>
      </c>
      <c r="J114" s="86">
        <f t="shared" si="32"/>
        <v>0.045</v>
      </c>
      <c r="K114" s="87">
        <f>SUM(C114:J114)</f>
        <v>0.135</v>
      </c>
      <c r="L114" s="7"/>
      <c r="M114" s="70"/>
      <c r="N114" s="5"/>
      <c r="O114" s="63"/>
      <c r="P114" s="63"/>
      <c r="Q114" s="63"/>
      <c r="R114" s="63"/>
      <c r="S114" s="71"/>
      <c r="T114" s="66"/>
      <c r="U114" s="66"/>
      <c r="V114" s="66"/>
      <c r="W114" s="66"/>
      <c r="X114" s="66"/>
      <c r="Y114" s="67"/>
    </row>
    <row r="115" s="1" customFormat="1" spans="2:25">
      <c r="B115" s="115" t="s">
        <v>67</v>
      </c>
      <c r="C115" s="116">
        <f t="shared" ref="C115:J115" si="33">(C114-C108)/C114</f>
        <v>0.84</v>
      </c>
      <c r="D115" s="116">
        <f t="shared" si="33"/>
        <v>0.2</v>
      </c>
      <c r="E115" s="116">
        <f t="shared" si="33"/>
        <v>-0.6</v>
      </c>
      <c r="F115" s="116">
        <f t="shared" si="33"/>
        <v>-0.2</v>
      </c>
      <c r="G115" s="116">
        <f t="shared" si="33"/>
        <v>-0.6</v>
      </c>
      <c r="H115" s="116">
        <f t="shared" si="33"/>
        <v>-1</v>
      </c>
      <c r="I115" s="116">
        <f t="shared" si="33"/>
        <v>-0.6</v>
      </c>
      <c r="J115" s="116">
        <f t="shared" si="33"/>
        <v>-0.6</v>
      </c>
      <c r="K115" s="117" cm="1">
        <f t="array" ref="K115">(SUMPRODUCT(C102:J102,C114:J114)-SUMPRODUCT(C108:J108,C102:J102))/SUMPRODUCT(C102:J102,C114:J114)</f>
        <v>-0.574252873563218</v>
      </c>
      <c r="L115" s="7"/>
      <c r="M115" s="70"/>
      <c r="N115" s="5"/>
      <c r="O115" s="63"/>
      <c r="P115" s="63"/>
      <c r="Q115" s="63"/>
      <c r="R115" s="63"/>
      <c r="S115" s="71"/>
      <c r="T115" s="66"/>
      <c r="U115" s="66"/>
      <c r="V115" s="66"/>
      <c r="W115" s="66"/>
      <c r="X115" s="66"/>
      <c r="Y115" s="67"/>
    </row>
    <row r="116" s="1" customFormat="1" spans="2:25">
      <c r="B116" s="118" t="s">
        <v>119</v>
      </c>
      <c r="C116" s="96">
        <f t="shared" ref="C116:J116" si="34">10*0.3+5*0.7</f>
        <v>6.5</v>
      </c>
      <c r="D116" s="96">
        <f t="shared" si="34"/>
        <v>6.5</v>
      </c>
      <c r="E116" s="96">
        <f t="shared" si="34"/>
        <v>6.5</v>
      </c>
      <c r="F116" s="96">
        <f t="shared" si="34"/>
        <v>6.5</v>
      </c>
      <c r="G116" s="96">
        <f t="shared" si="34"/>
        <v>6.5</v>
      </c>
      <c r="H116" s="96">
        <f t="shared" si="34"/>
        <v>6.5</v>
      </c>
      <c r="I116" s="96">
        <f t="shared" si="34"/>
        <v>6.5</v>
      </c>
      <c r="J116" s="96">
        <f t="shared" si="34"/>
        <v>6.5</v>
      </c>
      <c r="K116" s="119"/>
      <c r="L116" s="7"/>
      <c r="M116" s="70"/>
      <c r="N116" s="5"/>
      <c r="O116" s="63"/>
      <c r="P116" s="63"/>
      <c r="Q116" s="63"/>
      <c r="R116" s="63"/>
      <c r="S116" s="71"/>
      <c r="T116" s="66"/>
      <c r="U116" s="66"/>
      <c r="V116" s="66"/>
      <c r="W116" s="66"/>
      <c r="X116" s="66"/>
      <c r="Y116" s="67"/>
    </row>
    <row r="117" s="1" customFormat="1" spans="2:25">
      <c r="B117" s="54" t="s">
        <v>121</v>
      </c>
      <c r="C117" s="86">
        <f t="shared" ref="C117:J117" si="35">C116*C112/1000</f>
        <v>0.0065</v>
      </c>
      <c r="D117" s="86">
        <f t="shared" si="35"/>
        <v>0.0065</v>
      </c>
      <c r="E117" s="86">
        <f t="shared" si="35"/>
        <v>0.0065</v>
      </c>
      <c r="F117" s="86">
        <f t="shared" si="35"/>
        <v>0.013</v>
      </c>
      <c r="G117" s="86">
        <f t="shared" si="35"/>
        <v>0.013</v>
      </c>
      <c r="H117" s="86">
        <f t="shared" si="35"/>
        <v>0.013</v>
      </c>
      <c r="I117" s="86">
        <f t="shared" si="35"/>
        <v>0.0195</v>
      </c>
      <c r="J117" s="86">
        <f t="shared" si="35"/>
        <v>0.039</v>
      </c>
      <c r="K117" s="87">
        <f>SUM(C117:J117)</f>
        <v>0.117</v>
      </c>
      <c r="L117" s="7"/>
      <c r="M117" s="98"/>
      <c r="N117" s="97"/>
      <c r="O117" s="97"/>
      <c r="P117" s="97"/>
      <c r="Q117" s="97"/>
      <c r="R117" s="97"/>
      <c r="S117" s="85"/>
      <c r="T117" s="66"/>
      <c r="U117" s="66"/>
      <c r="V117" s="66"/>
      <c r="W117" s="66"/>
      <c r="X117" s="66"/>
      <c r="Y117" s="67"/>
    </row>
    <row r="118" s="1" customFormat="1" ht="17.25" spans="2:25">
      <c r="B118" s="54" t="s">
        <v>67</v>
      </c>
      <c r="C118" s="85">
        <f t="shared" ref="C118:J118" si="36">(C117-C108)/C117</f>
        <v>0.815384615384615</v>
      </c>
      <c r="D118" s="85">
        <f t="shared" si="36"/>
        <v>0.0769230769230769</v>
      </c>
      <c r="E118" s="85">
        <f t="shared" si="36"/>
        <v>-0.846153846153846</v>
      </c>
      <c r="F118" s="85">
        <f t="shared" si="36"/>
        <v>-0.384615384615385</v>
      </c>
      <c r="G118" s="85">
        <f t="shared" si="36"/>
        <v>-0.846153846153846</v>
      </c>
      <c r="H118" s="85">
        <f t="shared" si="36"/>
        <v>-1.30769230769231</v>
      </c>
      <c r="I118" s="85">
        <f t="shared" si="36"/>
        <v>-0.846153846153846</v>
      </c>
      <c r="J118" s="85">
        <f t="shared" si="36"/>
        <v>-0.846153846153846</v>
      </c>
      <c r="K118" s="73" cm="1">
        <f t="array" ref="K118">(SUMPRODUCT(C102:J102,C117:J117)-SUMPRODUCT(C108:J108,C102:J102))/SUMPRODUCT(C102:J102,C117:J117)</f>
        <v>-0.816445623342175</v>
      </c>
      <c r="L118" s="7"/>
      <c r="M118" s="99"/>
      <c r="N118" s="100"/>
      <c r="O118" s="100"/>
      <c r="P118" s="100"/>
      <c r="Q118" s="100"/>
      <c r="R118" s="100"/>
      <c r="S118" s="101"/>
      <c r="T118" s="102"/>
      <c r="U118" s="102"/>
      <c r="V118" s="102"/>
      <c r="W118" s="102"/>
      <c r="X118" s="102"/>
      <c r="Y118" s="103"/>
    </row>
    <row r="119" s="1" customFormat="1" spans="2:25">
      <c r="B119" s="95" t="s">
        <v>122</v>
      </c>
      <c r="C119" s="97">
        <v>4</v>
      </c>
      <c r="D119" s="97">
        <v>4</v>
      </c>
      <c r="E119" s="97">
        <v>4</v>
      </c>
      <c r="F119" s="97">
        <v>4</v>
      </c>
      <c r="G119" s="97">
        <v>4</v>
      </c>
      <c r="H119" s="97">
        <v>4</v>
      </c>
      <c r="I119" s="97">
        <v>4</v>
      </c>
      <c r="J119" s="97">
        <v>4</v>
      </c>
      <c r="K119" s="73"/>
      <c r="L119" s="7"/>
      <c r="M119" s="7"/>
      <c r="N119" s="7"/>
    </row>
    <row r="120" spans="2:25">
      <c r="B120" s="54" t="s">
        <v>121</v>
      </c>
      <c r="C120" s="86">
        <f>C119*C112/1000</f>
        <v>0.004</v>
      </c>
      <c r="D120" s="86">
        <f t="shared" ref="C120:J120" si="37">D119*D112/1000</f>
        <v>0.004</v>
      </c>
      <c r="E120" s="86">
        <f t="shared" si="37"/>
        <v>0.004</v>
      </c>
      <c r="F120" s="86">
        <f t="shared" si="37"/>
        <v>0.008</v>
      </c>
      <c r="G120" s="86">
        <f t="shared" si="37"/>
        <v>0.008</v>
      </c>
      <c r="H120" s="86">
        <f t="shared" si="37"/>
        <v>0.008</v>
      </c>
      <c r="I120" s="86">
        <f t="shared" si="37"/>
        <v>0.012</v>
      </c>
      <c r="J120" s="86">
        <f t="shared" si="37"/>
        <v>0.024</v>
      </c>
      <c r="K120" s="73"/>
    </row>
    <row r="121" ht="17.25" spans="2:25">
      <c r="B121" s="107" t="s">
        <v>67</v>
      </c>
      <c r="C121" s="101">
        <f t="shared" ref="C121:J121" si="38">(C120-C108)/C120</f>
        <v>0.7</v>
      </c>
      <c r="D121" s="101">
        <f t="shared" si="38"/>
        <v>-0.5</v>
      </c>
      <c r="E121" s="101">
        <f t="shared" si="38"/>
        <v>-2</v>
      </c>
      <c r="F121" s="101">
        <f t="shared" si="38"/>
        <v>-1.25</v>
      </c>
      <c r="G121" s="101">
        <f t="shared" si="38"/>
        <v>-2</v>
      </c>
      <c r="H121" s="101">
        <f t="shared" si="38"/>
        <v>-2.75</v>
      </c>
      <c r="I121" s="101">
        <f t="shared" si="38"/>
        <v>-2</v>
      </c>
      <c r="J121" s="101">
        <f t="shared" si="38"/>
        <v>-2</v>
      </c>
      <c r="K121" s="108" cm="1">
        <f t="array" ref="K121">(SUMPRODUCT(C102:J102,C120:J120)-SUMPRODUCT(C108:J108,C102:J102))/SUMPRODUCT(C102:J102,C120:J120)</f>
        <v>-1.95172413793103</v>
      </c>
    </row>
  </sheetData>
  <mergeCells count="156">
    <mergeCell ref="B20:K20"/>
    <mergeCell ref="E21:H21"/>
    <mergeCell ref="I21:J21"/>
    <mergeCell ref="K21:M21"/>
    <mergeCell ref="E22:F22"/>
    <mergeCell ref="G22:H22"/>
    <mergeCell ref="I22:J22"/>
    <mergeCell ref="K22:M22"/>
    <mergeCell ref="B23:D23"/>
    <mergeCell ref="E23:F23"/>
    <mergeCell ref="G23:H23"/>
    <mergeCell ref="I23:J23"/>
    <mergeCell ref="K23:M23"/>
    <mergeCell ref="C24:D24"/>
    <mergeCell ref="E24:F24"/>
    <mergeCell ref="G24:H24"/>
    <mergeCell ref="I24:J24"/>
    <mergeCell ref="K24:M24"/>
    <mergeCell ref="C25:D25"/>
    <mergeCell ref="E25:F25"/>
    <mergeCell ref="G25:H25"/>
    <mergeCell ref="I25:J25"/>
    <mergeCell ref="K25:M25"/>
    <mergeCell ref="C26:D26"/>
    <mergeCell ref="E26:F26"/>
    <mergeCell ref="G26:H26"/>
    <mergeCell ref="I26:J26"/>
    <mergeCell ref="K26:M26"/>
    <mergeCell ref="C27:D27"/>
    <mergeCell ref="E27:F27"/>
    <mergeCell ref="G27:H27"/>
    <mergeCell ref="I27:J27"/>
    <mergeCell ref="K27:M27"/>
    <mergeCell ref="C28:D28"/>
    <mergeCell ref="E28:F28"/>
    <mergeCell ref="G28:H28"/>
    <mergeCell ref="I28:J28"/>
    <mergeCell ref="K28:M28"/>
    <mergeCell ref="C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C31:D31"/>
    <mergeCell ref="E31:F31"/>
    <mergeCell ref="G31:H31"/>
    <mergeCell ref="I31:J31"/>
    <mergeCell ref="K31:M31"/>
    <mergeCell ref="C32:D32"/>
    <mergeCell ref="E32:F32"/>
    <mergeCell ref="G32:H32"/>
    <mergeCell ref="I32:J32"/>
    <mergeCell ref="K32:M32"/>
    <mergeCell ref="C33:D33"/>
    <mergeCell ref="E33:F33"/>
    <mergeCell ref="G33:H33"/>
    <mergeCell ref="I33:J33"/>
    <mergeCell ref="K33:M33"/>
    <mergeCell ref="C34:D34"/>
    <mergeCell ref="E34:F34"/>
    <mergeCell ref="G34:H34"/>
    <mergeCell ref="I34:J34"/>
    <mergeCell ref="K34:M34"/>
    <mergeCell ref="C35:D35"/>
    <mergeCell ref="E35:F35"/>
    <mergeCell ref="G35:H35"/>
    <mergeCell ref="I35:J35"/>
    <mergeCell ref="K35:M35"/>
    <mergeCell ref="C40:K40"/>
    <mergeCell ref="N40:S40"/>
    <mergeCell ref="Q41:R41"/>
    <mergeCell ref="B43:K43"/>
    <mergeCell ref="B46:K46"/>
    <mergeCell ref="B52:K52"/>
    <mergeCell ref="M52:S52"/>
    <mergeCell ref="B53:K53"/>
    <mergeCell ref="C69:K69"/>
    <mergeCell ref="N69:S69"/>
    <mergeCell ref="Q70:R70"/>
    <mergeCell ref="B72:K72"/>
    <mergeCell ref="B75:K75"/>
    <mergeCell ref="B81:K81"/>
    <mergeCell ref="B82:K82"/>
    <mergeCell ref="C98:K98"/>
    <mergeCell ref="N98:S98"/>
    <mergeCell ref="Q99:R99"/>
    <mergeCell ref="B101:K101"/>
    <mergeCell ref="B104:K104"/>
    <mergeCell ref="B110:K110"/>
    <mergeCell ref="B111:K111"/>
    <mergeCell ref="B21:B22"/>
    <mergeCell ref="B40:B42"/>
    <mergeCell ref="B69:B71"/>
    <mergeCell ref="B98:B100"/>
    <mergeCell ref="C41:C42"/>
    <mergeCell ref="C70:C71"/>
    <mergeCell ref="C99:C100"/>
    <mergeCell ref="D41:D42"/>
    <mergeCell ref="D70:D71"/>
    <mergeCell ref="D99:D100"/>
    <mergeCell ref="E41:E42"/>
    <mergeCell ref="E70:E71"/>
    <mergeCell ref="E99:E100"/>
    <mergeCell ref="F41:F42"/>
    <mergeCell ref="F70:F71"/>
    <mergeCell ref="F99:F100"/>
    <mergeCell ref="G41:G42"/>
    <mergeCell ref="G70:G71"/>
    <mergeCell ref="G99:G100"/>
    <mergeCell ref="H41:H42"/>
    <mergeCell ref="H70:H71"/>
    <mergeCell ref="H99:H100"/>
    <mergeCell ref="I41:I42"/>
    <mergeCell ref="I70:I71"/>
    <mergeCell ref="I99:I100"/>
    <mergeCell ref="J41:J42"/>
    <mergeCell ref="J70:J71"/>
    <mergeCell ref="J99:J100"/>
    <mergeCell ref="K41:K42"/>
    <mergeCell ref="K70:K71"/>
    <mergeCell ref="K99:K100"/>
    <mergeCell ref="M40:M42"/>
    <mergeCell ref="M69:M71"/>
    <mergeCell ref="M98:M100"/>
    <mergeCell ref="N41:N42"/>
    <mergeCell ref="N70:N71"/>
    <mergeCell ref="N99:N100"/>
    <mergeCell ref="O41:O42"/>
    <mergeCell ref="O70:O71"/>
    <mergeCell ref="O99:O100"/>
    <mergeCell ref="P41:P42"/>
    <mergeCell ref="P70:P71"/>
    <mergeCell ref="P99:P100"/>
    <mergeCell ref="S41:S42"/>
    <mergeCell ref="S70:S71"/>
    <mergeCell ref="S99:S100"/>
    <mergeCell ref="B2:K10"/>
    <mergeCell ref="B12:K18"/>
    <mergeCell ref="B37:K39"/>
    <mergeCell ref="T40:Y42"/>
    <mergeCell ref="T43:Y60"/>
    <mergeCell ref="M45:S46"/>
    <mergeCell ref="B66:K68"/>
    <mergeCell ref="T69:Y71"/>
    <mergeCell ref="M74:S75"/>
    <mergeCell ref="T72:Y89"/>
    <mergeCell ref="B95:K97"/>
    <mergeCell ref="T98:Y100"/>
    <mergeCell ref="T101:Y118"/>
    <mergeCell ref="M103:S104"/>
    <mergeCell ref="C21:D22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1:N15"/>
  <sheetViews>
    <sheetView workbookViewId="0">
      <selection activeCell="G14" sqref="G14"/>
    </sheetView>
  </sheetViews>
  <sheetFormatPr defaultColWidth="9" defaultRowHeight="16.5"/>
  <cols>
    <col min="1" max="1" width="3.875" style="1" customWidth="1"/>
    <col min="2" max="2" width="9.125" style="1" customWidth="1"/>
    <col min="3" max="7" width="10" style="1" customWidth="1"/>
    <col min="8" max="8" width="3.25" style="1" customWidth="1"/>
    <col min="9" max="9" width="9" style="1"/>
    <col min="10" max="14" width="10" style="1" customWidth="1"/>
    <col min="15" max="16384" width="9" style="1"/>
  </cols>
  <sheetData>
    <row r="1" ht="17.25" spans="2:14">
      <c r="B1" s="2" t="s">
        <v>147</v>
      </c>
    </row>
    <row r="3" ht="17.25" spans="2:14">
      <c r="B3" s="2" t="s">
        <v>148</v>
      </c>
      <c r="I3" s="2" t="s">
        <v>149</v>
      </c>
    </row>
    <row r="4" spans="2:14">
      <c r="B4" s="3" t="s">
        <v>150</v>
      </c>
      <c r="C4" s="3" t="s">
        <v>151</v>
      </c>
      <c r="D4" s="3"/>
      <c r="E4" s="3"/>
      <c r="F4" s="3"/>
      <c r="G4" s="3"/>
      <c r="I4" s="3" t="s">
        <v>150</v>
      </c>
      <c r="J4" s="3" t="s">
        <v>151</v>
      </c>
      <c r="K4" s="3"/>
      <c r="L4" s="3"/>
      <c r="M4" s="3"/>
      <c r="N4" s="3"/>
    </row>
    <row r="5" ht="33" spans="2:14">
      <c r="B5" s="3"/>
      <c r="C5" s="4" t="s">
        <v>86</v>
      </c>
      <c r="D5" s="4" t="s">
        <v>87</v>
      </c>
      <c r="E5" s="4" t="s">
        <v>89</v>
      </c>
      <c r="F5" s="4" t="s">
        <v>92</v>
      </c>
      <c r="G5" s="4" t="s">
        <v>93</v>
      </c>
      <c r="I5" s="3"/>
      <c r="J5" s="4" t="s">
        <v>86</v>
      </c>
      <c r="K5" s="4" t="s">
        <v>87</v>
      </c>
      <c r="L5" s="4" t="s">
        <v>89</v>
      </c>
      <c r="M5" s="4" t="s">
        <v>92</v>
      </c>
      <c r="N5" s="4" t="s">
        <v>93</v>
      </c>
    </row>
    <row r="6" spans="2:14">
      <c r="B6" s="5" t="s">
        <v>152</v>
      </c>
      <c r="C6" s="6" t="s">
        <v>153</v>
      </c>
      <c r="D6" s="5" t="s">
        <v>154</v>
      </c>
      <c r="E6" s="5" t="s">
        <v>155</v>
      </c>
      <c r="F6" s="5" t="s">
        <v>156</v>
      </c>
      <c r="G6" s="5" t="s">
        <v>157</v>
      </c>
      <c r="I6" s="5" t="s">
        <v>152</v>
      </c>
      <c r="J6" s="5" t="s">
        <v>158</v>
      </c>
      <c r="K6" s="5" t="s">
        <v>159</v>
      </c>
      <c r="L6" s="5" t="s">
        <v>160</v>
      </c>
      <c r="M6" s="5" t="s">
        <v>161</v>
      </c>
      <c r="N6" s="5" t="s">
        <v>155</v>
      </c>
    </row>
    <row r="7" spans="2:14">
      <c r="B7" s="5" t="s">
        <v>162</v>
      </c>
      <c r="C7" s="5" t="s">
        <v>163</v>
      </c>
      <c r="D7" s="5" t="s">
        <v>160</v>
      </c>
      <c r="E7" s="5" t="s">
        <v>161</v>
      </c>
      <c r="F7" s="5" t="s">
        <v>164</v>
      </c>
      <c r="G7" s="5" t="s">
        <v>165</v>
      </c>
      <c r="I7" s="5" t="s">
        <v>162</v>
      </c>
      <c r="J7" s="5" t="s">
        <v>166</v>
      </c>
      <c r="K7" s="5" t="s">
        <v>167</v>
      </c>
      <c r="L7" s="5" t="s">
        <v>168</v>
      </c>
      <c r="M7" s="5" t="s">
        <v>169</v>
      </c>
      <c r="N7" s="5" t="s">
        <v>161</v>
      </c>
    </row>
    <row r="8" spans="2:14">
      <c r="B8" s="5" t="s">
        <v>170</v>
      </c>
      <c r="C8" s="5" t="s">
        <v>171</v>
      </c>
      <c r="D8" s="5" t="s">
        <v>153</v>
      </c>
      <c r="E8" s="5" t="s">
        <v>172</v>
      </c>
      <c r="F8" s="5" t="s">
        <v>173</v>
      </c>
      <c r="G8" s="5" t="s">
        <v>174</v>
      </c>
      <c r="I8" s="5" t="s">
        <v>170</v>
      </c>
      <c r="J8" s="5" t="s">
        <v>175</v>
      </c>
      <c r="K8" s="5" t="s">
        <v>158</v>
      </c>
      <c r="L8" s="5" t="s">
        <v>176</v>
      </c>
      <c r="M8" s="5" t="s">
        <v>154</v>
      </c>
      <c r="N8" s="5" t="s">
        <v>169</v>
      </c>
    </row>
    <row r="9" spans="2:14">
      <c r="B9" s="5" t="s">
        <v>177</v>
      </c>
      <c r="C9" s="5" t="s">
        <v>178</v>
      </c>
      <c r="D9" s="5" t="s">
        <v>179</v>
      </c>
      <c r="E9" s="5" t="s">
        <v>180</v>
      </c>
      <c r="F9" s="5" t="s">
        <v>161</v>
      </c>
      <c r="G9" s="5" t="s">
        <v>181</v>
      </c>
      <c r="I9" s="5" t="s">
        <v>177</v>
      </c>
      <c r="J9" s="5" t="s">
        <v>182</v>
      </c>
      <c r="K9" s="5" t="s">
        <v>178</v>
      </c>
      <c r="L9" s="5" t="s">
        <v>183</v>
      </c>
      <c r="M9" s="5" t="s">
        <v>160</v>
      </c>
      <c r="N9" s="5" t="s">
        <v>154</v>
      </c>
    </row>
    <row r="11" spans="2:14">
      <c r="B11" s="1" t="s">
        <v>184</v>
      </c>
    </row>
    <row r="12" spans="2:14">
      <c r="B12" s="3" t="s">
        <v>150</v>
      </c>
      <c r="C12" s="3" t="s">
        <v>185</v>
      </c>
      <c r="D12" s="3"/>
      <c r="E12" s="3"/>
      <c r="F12" s="3"/>
      <c r="G12" s="3"/>
    </row>
    <row r="13" ht="33" spans="2:14">
      <c r="B13" s="3"/>
      <c r="C13" s="4" t="s">
        <v>86</v>
      </c>
      <c r="D13" s="4" t="s">
        <v>87</v>
      </c>
      <c r="E13" s="4" t="s">
        <v>89</v>
      </c>
      <c r="F13" s="4" t="s">
        <v>92</v>
      </c>
      <c r="G13" s="4" t="s">
        <v>93</v>
      </c>
    </row>
    <row r="14" spans="2:14">
      <c r="B14" s="5" t="s">
        <v>152</v>
      </c>
      <c r="C14" s="6" t="s">
        <v>186</v>
      </c>
      <c r="D14" s="6" t="s">
        <v>186</v>
      </c>
      <c r="E14" s="5" t="s">
        <v>187</v>
      </c>
      <c r="F14" s="5" t="s">
        <v>188</v>
      </c>
      <c r="G14" s="5" t="s">
        <v>189</v>
      </c>
    </row>
    <row r="15" spans="2:14">
      <c r="B15" s="5" t="s">
        <v>162</v>
      </c>
      <c r="C15" s="5" t="s">
        <v>186</v>
      </c>
      <c r="D15" s="5" t="s">
        <v>186</v>
      </c>
      <c r="E15" s="5" t="s">
        <v>187</v>
      </c>
      <c r="F15" s="5" t="s">
        <v>190</v>
      </c>
      <c r="G15" s="5" t="s">
        <v>191</v>
      </c>
    </row>
  </sheetData>
  <mergeCells count="6">
    <mergeCell ref="C4:G4"/>
    <mergeCell ref="J4:N4"/>
    <mergeCell ref="C12:G12"/>
    <mergeCell ref="B4:B5"/>
    <mergeCell ref="B12:B13"/>
    <mergeCell ref="I4:I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单用户成本与收益</vt:lpstr>
      <vt:lpstr>收视用户分布模型</vt:lpstr>
      <vt:lpstr>概要</vt:lpstr>
      <vt:lpstr>2.3码率</vt:lpstr>
      <vt:lpstr>4码率</vt:lpstr>
      <vt:lpstr>行业情况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ding</dc:creator>
  <cp:lastModifiedBy>刘颖荣</cp:lastModifiedBy>
  <dcterms:created xsi:type="dcterms:W3CDTF">2024-12-14T05:30:00Z</dcterms:created>
  <dcterms:modified xsi:type="dcterms:W3CDTF">2026-05-11T06:27:40Z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C1FE67BFD409C8ABAAF42268D8209001_43</vt:lpwstr>
  </property>
  <property fmtid="{D5CDD505-2E9C-101B-9397-08002B2CF9AE}" pid="4" name="CalculationRule">
    <vt:i4>0</vt:i4>
  </property>
</Properties>
</file>