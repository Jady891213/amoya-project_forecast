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总表" sheetId="2" r:id="rId1"/>
    <sheet name="CDN明细" sheetId="1" r:id="rId2"/>
  </sheets>
  <externalReferences>
    <externalReference r:id="rId3"/>
  </externalReferences>
  <definedNames>
    <definedName name="出租人">[1]基础数据!$C$4:$C$5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<sst xmlns="http://schemas.openxmlformats.org/spreadsheetml/2006/main" count="27" uniqueCount="27">
  <si>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r>
      <rPr>
        <b/>
        <sz val="10"/>
        <color theme="1"/>
        <rFont val="微软雅黑"/>
        <charset val="134"/>
      </rPr>
      <t>根据业务提供的测算假设如下：</t>
    </r>
    <r>
      <rPr>
        <sz val="10"/>
        <color theme="1"/>
        <rFont val="微软雅黑"/>
        <charset val="134"/>
      </rPr>
      <t xml:space="preserve">
1、测算周期：2026年8-12月，共5个月；
2、收入结算：基础产品包24元/月，预计2642订购用户每月；
3、河北有线分成30%，当贝分成30%；
4、CDN按辽宁当贝业务2026年2-6月实际情况测算单用户CDN平均单价1.34元/月；
5、百视通微信收入手续费1%；
6、以上数据均含税。
</t>
    </r>
  </si>
  <si>
    <t xml:space="preserve">主要结论及提示：
1、本项目毛利率34%，年毛利约10万元；
2、百视通仅提供技术服务，收入确认适用净额法，分成成本冲减收入；
3、同模式辽宁驻地现当贝渠道月均流水仅4000元，建议对订购用户数持审慎预期，避免过度乐观；
4、因百视通通过2C渠道收款，实际分成前须先行扣除用户退费及渠道手续费，商务谈判中务必将此条款写入分成基数计算规则，以保障净收益。
</t>
  </si>
  <si>
    <t>利润情况</t>
  </si>
  <si>
    <t>明细项目（不含税）</t>
  </si>
  <si>
    <t>2026年8月-12月</t>
  </si>
  <si>
    <t>年（万元）</t>
  </si>
  <si>
    <t>单用户（元/月）</t>
  </si>
  <si>
    <t>收入</t>
  </si>
  <si>
    <t>约2642个订购每月</t>
  </si>
  <si>
    <t>成本</t>
  </si>
  <si>
    <t>微信手续费1%</t>
  </si>
  <si>
    <t>河北有线分成30%</t>
  </si>
  <si>
    <t>当贝分成30%</t>
  </si>
  <si>
    <t>CDN</t>
  </si>
  <si>
    <t>毛利</t>
  </si>
  <si>
    <t>毛利率</t>
  </si>
  <si>
    <t>月份</t>
  </si>
  <si>
    <t>用户数</t>
  </si>
  <si>
    <t>CDN成本</t>
  </si>
  <si>
    <t>每用户成本（元）</t>
  </si>
  <si>
    <r>
      <rPr>
        <b/>
        <sz val="10"/>
        <color rgb="FF000000"/>
        <rFont val="微软雅黑"/>
        <charset val="134"/>
      </rPr>
      <t>（辽宁2-6月）CDN成本平均值（</t>
    </r>
    <r>
      <rPr>
        <b/>
        <sz val="10"/>
        <color rgb="FFFF0000"/>
        <rFont val="微软雅黑"/>
        <charset val="134"/>
      </rPr>
      <t>CDN以辽宁数据为样本</t>
    </r>
    <r>
      <rPr>
        <b/>
        <sz val="10"/>
        <color rgb="FF000000"/>
        <rFont val="微软雅黑"/>
        <charset val="134"/>
      </rPr>
      <t>）</t>
    </r>
  </si>
  <si>
    <t>2月</t>
  </si>
  <si>
    <t>1.34元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</si>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</sst>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_ "/>
    <numFmt numFmtId="178" formatCode="0.0%"/>
  </numFmts>
  <fonts count="28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43" fontId="1" fillId="0" borderId="0" xfId="0" applyNumberFormat="1" applyFont="1" applyFill="1" applyAlignment="1">
      <alignment vertical="center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 vertical="center"/>
    </xf>
    <xf numFmtId="176" fontId="3" fillId="4" borderId="10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indent="2"/>
    </xf>
    <xf numFmtId="176" fontId="3" fillId="0" borderId="10" xfId="0" applyNumberFormat="1" applyFont="1" applyFill="1" applyBorder="1" applyAlignment="1">
      <alignment horizontal="center" vertical="center" wrapText="1"/>
    </xf>
    <xf numFmtId="177" fontId="3" fillId="0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/>
    </xf>
    <xf numFmtId="176" fontId="3" fillId="3" borderId="10" xfId="0" applyNumberFormat="1" applyFont="1" applyFill="1" applyBorder="1" applyAlignment="1">
      <alignment horizontal="center" vertical="center" wrapText="1"/>
    </xf>
    <xf numFmtId="177" fontId="3" fillId="3" borderId="10" xfId="0" applyNumberFormat="1" applyFont="1" applyFill="1" applyBorder="1" applyAlignment="1">
      <alignment horizontal="center" vertical="center" wrapText="1"/>
    </xf>
    <xf numFmtId="178" fontId="3" fillId="3" borderId="10" xfId="3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xie.wenbin\Desktop\&#19996;&#26041;&#26126;&#29664;&#24037;&#20316;&#25991;&#20214;&#22841;\&#26032;&#31199;&#36161;&#20934;&#21017;\&#31199;&#36161;&#35782;&#210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统计表"/>
      <sheetName val="基础数据"/>
      <sheetName val="无形资产经营权统计"/>
      <sheetName val="国际交流合并--无形资产"/>
      <sheetName val="绿舟宾馆--无形资产"/>
      <sheetName val="母公司--无形资产"/>
      <sheetName val="新兴媒体--长期待摊"/>
      <sheetName val="东方有线合并--长期待摊"/>
      <sheetName val="上海东方明珠投资管理--长期待摊"/>
      <sheetName val="贷款情况"/>
      <sheetName val="按板块反应"/>
      <sheetName val="大额"/>
      <sheetName val="承租人统计表"/>
      <sheetName val="出租人统计表"/>
      <sheetName val="明细表格"/>
      <sheetName val="识别流程图"/>
      <sheetName val="租赁的判断"/>
      <sheetName val="合同分拆流程图"/>
      <sheetName val="租赁的概述"/>
      <sheetName val="承租人的会计处理"/>
      <sheetName val="出租人的会计处理"/>
      <sheetName val="特殊情况的租赁处理"/>
      <sheetName val="企业会计准则"/>
      <sheetName val="租赁衔接规定"/>
      <sheetName val="衔接举例"/>
      <sheetName val="新租赁准则实施的年报表述"/>
      <sheetName val="租赁初始计量表"/>
      <sheetName val="租赁后续计量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B1:L24"/>
  <sheetViews>
    <sheetView showGridLines="0" tabSelected="1" topLeftCell="B1" workbookViewId="0">
      <selection activeCell="O16" sqref="O16"/>
    </sheetView>
  </sheetViews>
  <sheetFormatPr defaultColWidth="9" defaultRowHeight="16.5"/>
  <cols>
    <col min="1" max="1" width="1.375" style="5" customWidth="1"/>
    <col min="2" max="2" width="11.25" style="5" customWidth="1"/>
    <col min="3" max="3" width="6.5" style="5" customWidth="1"/>
    <col min="4" max="4" width="7.5" style="5" customWidth="1"/>
    <col min="5" max="5" width="3.125" style="6" customWidth="1"/>
    <col min="6" max="6" width="21.625" style="6" customWidth="1"/>
    <col min="7" max="7" width="17.25" style="5" customWidth="1"/>
    <col min="8" max="8" width="7.00833333333333" style="7" customWidth="1"/>
    <col min="9" max="10" width="7.00833333333333" style="5" customWidth="1"/>
    <col min="11" max="11" width="3.375" style="5" customWidth="1"/>
    <col min="12" max="12" width="7.00833333333333" style="5" customWidth="1"/>
    <col min="13" max="16384" width="9" style="5"/>
  </cols>
  <sheetData>
    <row r="1" ht="5" customHeight="1"/>
    <row r="2" s="5" customFormat="1" ht="22" customHeight="1" spans="2:12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="5" customFormat="1" ht="31" customHeight="1" spans="2:12"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</row>
    <row r="4" s="5" customFormat="1" ht="22" customHeight="1" spans="2:12">
      <c r="B4" s="11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="5" customFormat="1" ht="30" customHeight="1" spans="2:12">
      <c r="B5" s="11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="5" customFormat="1" ht="15" customHeight="1" spans="2:12">
      <c r="B6" s="14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s="5" customFormat="1" ht="8" customHeight="1" spans="2:12">
      <c r="B7" s="17"/>
      <c r="C7" s="5"/>
      <c r="D7" s="5"/>
      <c r="E7" s="5"/>
      <c r="F7" s="17"/>
      <c r="H7" s="7"/>
    </row>
    <row r="8" s="5" customFormat="1" ht="6" customHeight="1" spans="2:12"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10"/>
    </row>
    <row r="9" s="5" customFormat="1" ht="38" customHeight="1" spans="2:12">
      <c r="B9" s="11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="5" customFormat="1" ht="57" customHeight="1" spans="2:12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="5" customFormat="1" ht="19" customHeight="1" spans="2:12">
      <c r="B11" s="18"/>
      <c r="C11" s="18"/>
      <c r="D11" s="18"/>
      <c r="E11" s="6"/>
      <c r="F11" s="6"/>
      <c r="H11" s="7"/>
    </row>
    <row r="12" s="5" customFormat="1" spans="2:12">
      <c r="B12" s="19" t="s">
        <v>2</v>
      </c>
      <c r="C12" s="18"/>
      <c r="D12" s="18"/>
      <c r="E12" s="6"/>
      <c r="F12" s="20"/>
      <c r="H12" s="7"/>
      <c r="K12" s="18"/>
      <c r="L12" s="20"/>
    </row>
    <row r="13" s="5" customFormat="1" ht="21" customHeight="1" spans="2:12">
      <c r="B13" s="21" t="s">
        <v>3</v>
      </c>
      <c r="C13" s="21"/>
      <c r="D13" s="21"/>
      <c r="E13" s="21"/>
      <c r="F13" s="22" t="s">
        <v>4</v>
      </c>
      <c r="G13" s="22"/>
    </row>
    <row r="14" s="5" customFormat="1" spans="2:12">
      <c r="B14" s="21"/>
      <c r="C14" s="21"/>
      <c r="D14" s="21"/>
      <c r="E14" s="21"/>
      <c r="F14" s="23" t="s">
        <v>5</v>
      </c>
      <c r="G14" s="23" t="s">
        <v>6</v>
      </c>
    </row>
    <row r="15" s="5" customFormat="1" spans="2:12">
      <c r="B15" s="24" t="s">
        <v>7</v>
      </c>
      <c r="C15" s="24"/>
      <c r="D15" s="24"/>
      <c r="E15" s="24"/>
      <c r="F15" s="25">
        <f>F16</f>
        <v>29.9094339622641</v>
      </c>
      <c r="G15" s="25">
        <f>G16</f>
        <v>22.6415094339623</v>
      </c>
    </row>
    <row r="16" s="5" customFormat="1" spans="2:12">
      <c r="B16" s="26" t="s">
        <v>8</v>
      </c>
      <c r="C16" s="26"/>
      <c r="D16" s="26"/>
      <c r="E16" s="26"/>
      <c r="F16" s="27">
        <f>24*2642/1.06/10000*5</f>
        <v>29.9094339622641</v>
      </c>
      <c r="G16" s="27">
        <f>24/1.06</f>
        <v>22.6415094339623</v>
      </c>
    </row>
    <row r="17" s="5" customFormat="1" spans="2:8">
      <c r="B17" s="24" t="s">
        <v>9</v>
      </c>
      <c r="C17" s="24"/>
      <c r="D17" s="24"/>
      <c r="E17" s="24"/>
      <c r="F17" s="25">
        <f>SUM(F18:F21)</f>
        <v>19.735241509434</v>
      </c>
      <c r="G17" s="25">
        <f>SUM(G18:G21)</f>
        <v>14.9396226415094</v>
      </c>
    </row>
    <row r="18" s="5" customFormat="1" spans="2:8">
      <c r="B18" s="26" t="s">
        <v>10</v>
      </c>
      <c r="C18" s="26"/>
      <c r="D18" s="26"/>
      <c r="E18" s="26"/>
      <c r="F18" s="28">
        <f>24*2642*0.01/1.06*5/10000</f>
        <v>0.299094339622642</v>
      </c>
      <c r="G18" s="28">
        <f>24*0.01/1.06</f>
        <v>0.226415094339623</v>
      </c>
    </row>
    <row r="19" s="5" customFormat="1" spans="2:8">
      <c r="B19" s="26" t="s">
        <v>11</v>
      </c>
      <c r="C19" s="26"/>
      <c r="D19" s="26"/>
      <c r="E19" s="26"/>
      <c r="F19" s="27">
        <f>(F16-F18)*0.3</f>
        <v>8.88310188679245</v>
      </c>
      <c r="G19" s="27">
        <f>(G16-G18)*0.3</f>
        <v>6.7245283018868</v>
      </c>
    </row>
    <row r="20" s="5" customFormat="1" spans="2:8">
      <c r="B20" s="26" t="s">
        <v>12</v>
      </c>
      <c r="C20" s="26"/>
      <c r="D20" s="26"/>
      <c r="E20" s="26"/>
      <c r="F20" s="27">
        <f>(F16-F18)*0.3</f>
        <v>8.88310188679245</v>
      </c>
      <c r="G20" s="27">
        <f>(G16-G18)*0.3</f>
        <v>6.7245283018868</v>
      </c>
    </row>
    <row r="21" s="5" customFormat="1" spans="2:8">
      <c r="B21" s="26" t="s">
        <v>13</v>
      </c>
      <c r="C21" s="26"/>
      <c r="D21" s="26"/>
      <c r="E21" s="26"/>
      <c r="F21" s="27">
        <f>1.34*2642*5/10000/1.06</f>
        <v>1.66994339622641</v>
      </c>
      <c r="G21" s="27">
        <f>1.34/1.06</f>
        <v>1.26415094339623</v>
      </c>
    </row>
    <row r="22" s="5" customFormat="1" spans="2:8">
      <c r="B22" s="29" t="s">
        <v>14</v>
      </c>
      <c r="C22" s="29"/>
      <c r="D22" s="29"/>
      <c r="E22" s="29"/>
      <c r="F22" s="30">
        <f>F15-F17</f>
        <v>10.1741924528302</v>
      </c>
      <c r="G22" s="31">
        <f>G15-G17</f>
        <v>7.70188679245285</v>
      </c>
    </row>
    <row r="23" s="5" customFormat="1" spans="2:8">
      <c r="B23" s="29" t="s">
        <v>15</v>
      </c>
      <c r="C23" s="29"/>
      <c r="D23" s="29"/>
      <c r="E23" s="29"/>
      <c r="F23" s="32">
        <f>F22/F15</f>
        <v>0.340166666666667</v>
      </c>
      <c r="G23" s="32">
        <f>G22/G15</f>
        <v>0.340166666666667</v>
      </c>
    </row>
    <row r="24" s="5" customFormat="1" ht="14" customHeight="1" spans="2:8">
      <c r="E24" s="6"/>
      <c r="F24" s="5"/>
      <c r="H24" s="7"/>
    </row>
  </sheetData>
  <mergeCells count="13">
    <mergeCell ref="F13:G13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13:E14"/>
    <mergeCell ref="B2:L6"/>
    <mergeCell ref="B8:L10"/>
  </mergeCells>
  <pageMargins left="0.75" right="0.75" top="1" bottom="1" header="0.5" footer="0.5"/>
  <pageSetup paperSize="9" scale="9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"/>
  <sheetViews>
    <sheetView showGridLines="0" workbookViewId="0">
      <selection activeCell="E2" sqref="E2:E6"/>
    </sheetView>
  </sheetViews>
  <sheetFormatPr defaultColWidth="8.89166666666667" defaultRowHeight="16.5" outlineLevelRow="5" outlineLevelCol="4"/>
  <cols>
    <col min="1" max="1" width="8.89166666666667" style="1"/>
    <col min="2" max="3" width="9.75" style="1"/>
    <col min="4" max="4" width="14.875" style="1" customWidth="1"/>
    <col min="5" max="5" width="47.625" style="1" customWidth="1"/>
    <col min="6" max="16384" width="8.89166666666667" style="1"/>
  </cols>
  <sheetData>
    <row r="1" ht="17.25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ht="22.5" customHeight="1" spans="1:5">
      <c r="A2" s="3" t="s">
        <v>21</v>
      </c>
      <c r="B2" s="4">
        <v>9595</v>
      </c>
      <c r="C2" s="4">
        <v>13785</v>
      </c>
      <c r="D2" s="3">
        <v>1.44</v>
      </c>
      <c r="E2" s="3" t="s">
        <v>22</v>
      </c>
    </row>
    <row r="3" ht="17.25" spans="1:5">
      <c r="A3" s="3" t="s">
        <v>23</v>
      </c>
      <c r="B3" s="4">
        <v>10778</v>
      </c>
      <c r="C3" s="4">
        <v>10903</v>
      </c>
      <c r="D3" s="3">
        <v>1.01</v>
      </c>
      <c r="E3" s="3"/>
    </row>
    <row r="4" ht="17.25" spans="1:5">
      <c r="A4" s="3" t="s">
        <v>24</v>
      </c>
      <c r="B4" s="4">
        <v>4738</v>
      </c>
      <c r="C4" s="4">
        <v>7164</v>
      </c>
      <c r="D4" s="3">
        <v>1.51</v>
      </c>
      <c r="E4" s="3"/>
    </row>
    <row r="5" ht="17.25" spans="1:5">
      <c r="A5" s="3" t="s">
        <v>25</v>
      </c>
      <c r="B5" s="4">
        <v>4658</v>
      </c>
      <c r="C5" s="4">
        <v>7228</v>
      </c>
      <c r="D5" s="3">
        <v>1.55</v>
      </c>
      <c r="E5" s="3"/>
    </row>
    <row r="6" ht="17.25" spans="1:5">
      <c r="A6" s="3" t="s">
        <v>26</v>
      </c>
      <c r="B6" s="4">
        <v>5104</v>
      </c>
      <c r="C6" s="4">
        <v>5948</v>
      </c>
      <c r="D6" s="3">
        <v>1.17</v>
      </c>
      <c r="E6" s="3"/>
    </row>
  </sheetData>
  <mergeCells count="1">
    <mergeCell ref="E2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CDN明细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cui.yafang</dc:creator>
  <cp:lastModifiedBy>崔亚芳</cp:lastModifiedBy>
  <dcterms:created xsi:type="dcterms:W3CDTF">2026-04-10T06:42:00Z</dcterms:created>
  <dcterms:modified xsi:type="dcterms:W3CDTF">2026-07-22T01:05:06Z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7FA7D70D717F4A2ABC1E9A8487E03D24_13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