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6f51deb3964d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算报告" sheetId="1" r:id="R69188f5d74c94bd2"/>
    <x:sheet xmlns:r="http://schemas.openxmlformats.org/officeDocument/2006/relationships" name="月度明细" sheetId="2" r:id="R2be3e8efcafa4e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[Red](#,##0.00);-"/>
    <x:numFmt numFmtId="201" formatCode="0.00%;[Red](0.00%);-"/>
    <x:numFmt numFmtId="202" formatCode="0.00000"/>
    <x:numFmt numFmtId="203" formatCode="#,##0"/>
    <x:numFmt numFmtId="204" formatCode="0"/>
  </x:numFmts>
  <x:fonts count="13">
    <x:font>
      <x:sz val="11"/>
      <x:name val="Carlito"/>
    </x:font>
    <x:font>
      <x:b/>
      <x:sz val="16"/>
      <x:color rgb="FFFFFFFF"/>
      <x:name val="Carlito"/>
    </x:font>
    <x:font>
      <x:sz val="10"/>
      <x:color rgb="FF667085"/>
      <x:name val="Carlito"/>
    </x:font>
    <x:font>
      <x:b/>
      <x:sz val="11"/>
      <x:color rgb="FF25324A"/>
      <x:name val="Carlito"/>
    </x:font>
    <x:font>
      <x:sz val="11"/>
      <x:color rgb="FF25324A"/>
      <x:name val="Carlito"/>
    </x:font>
    <x:font>
      <x:b/>
      <x:sz val="12"/>
      <x:color rgb="FF12966F"/>
      <x:name val="Carlito"/>
    </x:font>
    <x:font>
      <x:sz val="11"/>
      <x:color rgb="FF0000FF"/>
      <x:name val="Carlito"/>
    </x:font>
    <x:font>
      <x:b/>
      <x:sz val="11"/>
      <x:color rgb="FF12966F"/>
      <x:name val="Carlito"/>
    </x:font>
    <x:font>
      <x:b/>
      <x:sz val="11"/>
      <x:color rgb="FFC87415"/>
      <x:name val="Carlito"/>
    </x:font>
    <x:font>
      <x:sz val="11"/>
      <x:color rgb="FF176B52"/>
      <x:name val="Carlito"/>
    </x:font>
    <x:font>
      <x:i/>
      <x:sz val="9"/>
      <x:color rgb="FF667085"/>
      <x:name val="Carlito"/>
    </x:font>
    <x:font>
      <x:sz val="11"/>
      <x:color rgb="FF667085"/>
      <x:name val="Carlito"/>
    </x:font>
    <x:font>
      <x:sz val="11"/>
      <x:color rgb="FFC8741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315CDA"/>
      </x:patternFill>
    </x:fill>
    <x:fill>
      <x:patternFill patternType="solid">
        <x:fgColor rgb="FFF8FAFD"/>
      </x:patternFill>
    </x:fill>
    <x:fill>
      <x:patternFill patternType="solid">
        <x:fgColor rgb="FFEEF3FF"/>
      </x:patternFill>
    </x:fill>
    <x:fill>
      <x:patternFill patternType="solid">
        <x:fgColor rgb="FFEEF1F5"/>
      </x:patternFill>
    </x:fill>
    <x:fill>
      <x:patternFill patternType="solid">
        <x:fgColor rgb="FFFFFFFF"/>
      </x:patternFill>
    </x:fill>
    <x:fill>
      <x:patternFill patternType="solid">
        <x:fgColor rgb="FFEAF4FB"/>
      </x:patternFill>
    </x:fill>
    <x:fill>
      <x:patternFill patternType="solid">
        <x:fgColor rgb="FFEAF8F2"/>
      </x:patternFill>
    </x:fill>
    <x:fill>
      <x:patternFill patternType="solid">
        <x:fgColor rgb="FFFFF5E8"/>
      </x:patternFill>
    </x:fill>
  </x:fills>
  <x:borders count="13">
    <x:border/>
    <x:border>
      <x:left style="thin">
        <x:color rgb="FFD9E1EC"/>
      </x:left>
      <x:top style="thin">
        <x:color rgb="FFD9E1EC"/>
      </x:top>
      <x:bottom style="thin">
        <x:color rgb="FFD9E1EC"/>
      </x:bottom>
    </x:border>
    <x:border>
      <x:top style="thin">
        <x:color rgb="FFD9E1EC"/>
      </x:top>
      <x:bottom style="thin">
        <x:color rgb="FFD9E1EC"/>
      </x:bottom>
    </x:border>
    <x:border>
      <x:right style="thin">
        <x:color rgb="FFD9E1EC"/>
      </x:right>
      <x:top style="thin">
        <x:color rgb="FFD9E1EC"/>
      </x:top>
      <x:bottom style="thin">
        <x:color rgb="FFD9E1EC"/>
      </x:bottom>
    </x:border>
    <x:border>
      <x:left style="thin">
        <x:color rgb="FFD9E1EC"/>
      </x:left>
      <x:right style="thin">
        <x:color rgb="FFD9E1EC"/>
      </x:right>
      <x:top style="thin">
        <x:color rgb="FFD9E1EC"/>
      </x:top>
      <x:bottom style="thin">
        <x:color rgb="FFD9E1EC"/>
      </x:bottom>
    </x:border>
    <x:border>
      <x:left style="thin">
        <x:color rgb="FFB9E4D4"/>
      </x:left>
      <x:top style="thin">
        <x:color rgb="FFB9E4D4"/>
      </x:top>
    </x:border>
    <x:border>
      <x:top style="thin">
        <x:color rgb="FFB9E4D4"/>
      </x:top>
    </x:border>
    <x:border>
      <x:right style="thin">
        <x:color rgb="FFB9E4D4"/>
      </x:right>
      <x:top style="thin">
        <x:color rgb="FFB9E4D4"/>
      </x:top>
    </x:border>
    <x:border>
      <x:left style="thin">
        <x:color rgb="FFB9E4D4"/>
      </x:left>
    </x:border>
    <x:border>
      <x:right style="thin">
        <x:color rgb="FFB9E4D4"/>
      </x:right>
    </x:border>
    <x:border>
      <x:left style="thin">
        <x:color rgb="FFB9E4D4"/>
      </x:left>
      <x:bottom style="thin">
        <x:color rgb="FFB9E4D4"/>
      </x:bottom>
    </x:border>
    <x:border>
      <x:bottom style="thin">
        <x:color rgb="FFB9E4D4"/>
      </x:bottom>
    </x:border>
    <x:border>
      <x:right style="thin">
        <x:color rgb="FFB9E4D4"/>
      </x:right>
      <x:bottom style="thin">
        <x:color rgb="FFB9E4D4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3" fillId="5" borderId="4" xfId="0" applyNumberFormat="1" applyFont="1" applyFill="1" applyBorder="1" applyAlignment="1">
      <x:alignment horizontal="center"/>
    </x:xf>
    <x:xf numFmtId="0" fontId="3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4" xfId="0" applyNumberFormat="1" applyFont="1" applyFill="1" applyBorder="1" applyAlignment="1">
      <x:alignment vertical="center"/>
    </x:xf>
    <x:xf numFmtId="200" fontId="4" fillId="6" borderId="4" xfId="0" applyNumberFormat="1" applyFont="1" applyFill="1" applyBorder="1" applyAlignment="1">
      <x:alignment vertical="center"/>
    </x:xf>
    <x:xf numFmtId="201" fontId="4" fillId="6" borderId="4" xfId="0" applyNumberFormat="1" applyFont="1" applyFill="1" applyBorder="1" applyAlignment="1">
      <x:alignment vertical="center"/>
    </x:xf>
    <x:xf numFmtId="200" fontId="5" fillId="6" borderId="4" xfId="0" applyNumberFormat="1" applyFont="1" applyFill="1" applyBorder="1" applyAlignment="1">
      <x:alignment vertical="center"/>
    </x:xf>
    <x:xf numFmtId="201" fontId="5" fillId="6" borderId="4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vertical="center"/>
    </x:xf>
    <x:xf numFmtId="0" fontId="3" fillId="6" borderId="4" xfId="0" applyNumberFormat="1" applyFont="1" applyFill="1" applyBorder="1" applyAlignment="1">
      <x:alignment horizontal="right" vertical="center"/>
    </x:xf>
    <x:xf numFmtId="200" fontId="5" fillId="6" borderId="4" xfId="0" applyNumberFormat="1" applyFont="1" applyFill="1" applyBorder="1" applyAlignment="1">
      <x:alignment horizontal="right" vertical="center"/>
    </x:xf>
    <x:xf numFmtId="201" fontId="5" fillId="6" borderId="4" xfId="0" applyNumberFormat="1" applyFont="1" applyFill="1" applyBorder="1" applyAlignment="1">
      <x:alignment horizontal="right" vertical="center"/>
    </x:xf>
    <x:xf numFmtId="0" fontId="3" fillId="6" borderId="4" xfId="0" applyNumberFormat="1" applyFont="1" applyFill="1" applyBorder="1" applyAlignment="1">
      <x:alignment horizontal="left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202" fontId="6" fillId="0" borderId="4" xfId="0" applyNumberFormat="1" applyFont="1" applyFill="1" applyBorder="1" applyAlignment="1">
      <x:alignment vertical="center"/>
    </x:xf>
    <x:xf numFmtId="203" fontId="6" fillId="0" borderId="4" xfId="0" applyNumberFormat="1" applyFont="1" applyFill="1" applyBorder="1" applyAlignment="1">
      <x:alignment vertical="center"/>
    </x:xf>
    <x:xf numFmtId="204" fontId="6" fillId="0" borderId="4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1" fontId="6" fillId="0" borderId="4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0" fontId="0" fillId="7" borderId="4" xfId="0" applyNumberFormat="1" applyFont="1" applyFill="1" applyBorder="1" applyAlignment="1">
      <x:alignment vertical="center"/>
    </x:xf>
    <x:xf numFmtId="200" fontId="0" fillId="7" borderId="4" xfId="0" applyNumberFormat="1" applyFont="1" applyFill="1" applyBorder="1" applyAlignment="1">
      <x:alignment vertical="center"/>
    </x:xf>
    <x:xf numFmtId="0" fontId="3" fillId="7" borderId="4" xfId="0" applyNumberFormat="1" applyFont="1" applyFill="1" applyBorder="1" applyAlignment="1">
      <x:alignment vertical="center"/>
    </x:xf>
    <x:xf numFmtId="200" fontId="3" fillId="7" borderId="4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200" fontId="0" fillId="5" borderId="4" xfId="0" applyNumberFormat="1" applyFont="1" applyFill="1" applyBorder="1" applyAlignment="1">
      <x:alignment vertical="center"/>
    </x:xf>
    <x:xf numFmtId="0" fontId="7" fillId="5" borderId="4" xfId="0" applyNumberFormat="1" applyFont="1" applyFill="1" applyBorder="1" applyAlignment="1">
      <x:alignment vertical="center"/>
    </x:xf>
    <x:xf numFmtId="200" fontId="7" fillId="5" borderId="4" xfId="0" applyNumberFormat="1" applyFont="1" applyFill="1" applyBorder="1" applyAlignment="1">
      <x:alignment vertical="center"/>
    </x:xf>
    <x:xf numFmtId="201" fontId="0" fillId="5" borderId="4" xfId="0" applyNumberFormat="1" applyFont="1" applyFill="1" applyBorder="1" applyAlignment="1">
      <x:alignment vertical="center"/>
    </x:xf>
    <x:xf numFmtId="0" fontId="3" fillId="5" borderId="4" xfId="0" applyNumberFormat="1" applyFont="1" applyFill="1" applyBorder="1" applyAlignment="1">
      <x:alignment vertical="center"/>
    </x:xf>
    <x:xf numFmtId="201" fontId="3" fillId="5" borderId="4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5" xfId="0" applyNumberFormat="1" applyFont="1" applyFill="1" applyBorder="1"/>
    <x:xf numFmtId="0" fontId="9" fillId="8" borderId="6" xfId="0" applyNumberFormat="1" applyFont="1" applyFill="1" applyBorder="1"/>
    <x:xf numFmtId="0" fontId="9" fillId="8" borderId="7" xfId="0" applyNumberFormat="1" applyFont="1" applyFill="1" applyBorder="1"/>
    <x:xf numFmtId="0" fontId="9" fillId="8" borderId="8" xfId="0" applyNumberFormat="1" applyFont="1" applyFill="1" applyBorder="1"/>
    <x:xf numFmtId="0" fontId="9" fillId="8" borderId="9" xfId="0" applyNumberFormat="1" applyFont="1" applyFill="1" applyBorder="1"/>
    <x:xf numFmtId="0" fontId="9" fillId="8" borderId="10" xfId="0" applyNumberFormat="1" applyFont="1" applyFill="1" applyBorder="1"/>
    <x:xf numFmtId="0" fontId="9" fillId="8" borderId="11" xfId="0" applyNumberFormat="1" applyFont="1" applyFill="1" applyBorder="1"/>
    <x:xf numFmtId="0" fontId="9" fillId="8" borderId="12" xfId="0" applyNumberFormat="1" applyFont="1" applyFill="1" applyBorder="1"/>
    <x:xf numFmtId="0" fontId="9" fillId="8" borderId="5" xfId="0" applyNumberFormat="1" applyFont="1" applyFill="1" applyBorder="1" applyAlignment="1">
      <x:alignment wrapText="1"/>
    </x:xf>
    <x:xf numFmtId="0" fontId="9" fillId="8" borderId="6" xfId="0" applyNumberFormat="1" applyFont="1" applyFill="1" applyBorder="1" applyAlignment="1">
      <x:alignment wrapText="1"/>
    </x:xf>
    <x:xf numFmtId="0" fontId="9" fillId="8" borderId="7" xfId="0" applyNumberFormat="1" applyFont="1" applyFill="1" applyBorder="1" applyAlignment="1">
      <x:alignment wrapText="1"/>
    </x:xf>
    <x:xf numFmtId="0" fontId="9" fillId="8" borderId="8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9" fillId="8" borderId="9" xfId="0" applyNumberFormat="1" applyFont="1" applyFill="1" applyBorder="1" applyAlignment="1">
      <x:alignment wrapText="1"/>
    </x:xf>
    <x:xf numFmtId="0" fontId="9" fillId="8" borderId="10" xfId="0" applyNumberFormat="1" applyFont="1" applyFill="1" applyBorder="1" applyAlignment="1">
      <x:alignment wrapText="1"/>
    </x:xf>
    <x:xf numFmtId="0" fontId="9" fillId="8" borderId="11" xfId="0" applyNumberFormat="1" applyFont="1" applyFill="1" applyBorder="1" applyAlignment="1">
      <x:alignment wrapText="1"/>
    </x:xf>
    <x:xf numFmtId="0" fontId="9" fillId="8" borderId="12" xfId="0" applyNumberFormat="1" applyFont="1" applyFill="1" applyBorder="1" applyAlignment="1">
      <x:alignment wrapText="1"/>
    </x:xf>
    <x:xf numFmtId="0" fontId="9" fillId="8" borderId="5" xfId="0" applyNumberFormat="1" applyFont="1" applyFill="1" applyBorder="1" applyAlignment="1">
      <x:alignment vertical="center" wrapText="1"/>
    </x:xf>
    <x:xf numFmtId="0" fontId="9" fillId="8" borderId="6" xfId="0" applyNumberFormat="1" applyFont="1" applyFill="1" applyBorder="1" applyAlignment="1">
      <x:alignment vertical="center" wrapText="1"/>
    </x:xf>
    <x:xf numFmtId="0" fontId="9" fillId="8" borderId="7" xfId="0" applyNumberFormat="1" applyFont="1" applyFill="1" applyBorder="1" applyAlignment="1">
      <x:alignment vertical="center" wrapText="1"/>
    </x:xf>
    <x:xf numFmtId="0" fontId="9" fillId="8" borderId="8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9" fillId="8" borderId="9" xfId="0" applyNumberFormat="1" applyFont="1" applyFill="1" applyBorder="1" applyAlignment="1">
      <x:alignment vertical="center" wrapText="1"/>
    </x:xf>
    <x:xf numFmtId="0" fontId="9" fillId="8" borderId="10" xfId="0" applyNumberFormat="1" applyFont="1" applyFill="1" applyBorder="1" applyAlignment="1">
      <x:alignment vertical="center" wrapText="1"/>
    </x:xf>
    <x:xf numFmtId="0" fontId="9" fillId="8" borderId="11" xfId="0" applyNumberFormat="1" applyFont="1" applyFill="1" applyBorder="1" applyAlignment="1">
      <x:alignment vertical="center" wrapText="1"/>
    </x:xf>
    <x:xf numFmtId="0" fontId="9" fillId="8" borderId="12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/>
    <x:xf numFmtId="0" fontId="11" fillId="3" borderId="1" xfId="0" applyNumberFormat="1" applyFont="1" applyFill="1" applyBorder="1"/>
    <x:xf numFmtId="0" fontId="11" fillId="3" borderId="2" xfId="0" applyNumberFormat="1" applyFont="1" applyFill="1" applyBorder="1"/>
    <x:xf numFmtId="0" fontId="11" fillId="3" borderId="3" xfId="0" applyNumberFormat="1" applyFont="1" applyFill="1" applyBorder="1"/>
    <x:xf numFmtId="0" fontId="11" fillId="3" borderId="1" xfId="0" applyNumberFormat="1" applyFont="1" applyFill="1" applyBorder="1" applyAlignment="1">
      <x:alignment horizontal="center"/>
    </x:xf>
    <x:xf numFmtId="0" fontId="11" fillId="3" borderId="2" xfId="0" applyNumberFormat="1" applyFont="1" applyFill="1" applyBorder="1" applyAlignment="1">
      <x:alignment horizontal="center"/>
    </x:xf>
    <x:xf numFmtId="0" fontId="11" fillId="3" borderId="3" xfId="0" applyNumberFormat="1" applyFont="1" applyFill="1" applyBorder="1" applyAlignment="1">
      <x:alignment horizontal="center"/>
    </x:xf>
    <x:xf numFmtId="203" fontId="0" fillId="0" borderId="4" xfId="0" applyNumberFormat="1" applyFont="1" applyFill="1" applyBorder="1" applyAlignment="1">
      <x:alignment vertical="center"/>
    </x:xf>
    <x:xf numFmtId="0" fontId="0" fillId="9" borderId="4" xfId="0" applyNumberFormat="1" applyFont="1" applyFill="1" applyBorder="1" applyAlignment="1">
      <x:alignment vertical="center"/>
    </x:xf>
    <x:xf numFmtId="203" fontId="0" fillId="9" borderId="4" xfId="0" applyNumberFormat="1" applyFont="1" applyFill="1" applyBorder="1" applyAlignment="1">
      <x:alignment vertical="center"/>
    </x:xf>
    <x:xf numFmtId="0" fontId="12" fillId="9" borderId="4" xfId="0" applyNumberFormat="1" applyFont="1" applyFill="1" applyBorder="1" applyAlignment="1">
      <x:alignment vertical="center"/>
    </x:xf>
    <x:xf numFmtId="203" fontId="12" fillId="9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1a6cb85a7148cf" /><Relationship Type="http://schemas.openxmlformats.org/officeDocument/2006/relationships/theme" Target="/xl/theme/theme1.xml" Id="Re80537f9be4b4387" /><Relationship Type="http://schemas.openxmlformats.org/officeDocument/2006/relationships/sharedStrings" Target="/xl/sharedStrings.xml" Id="R89d61475f3f74d28" /><Relationship Type="http://schemas.openxmlformats.org/officeDocument/2006/relationships/worksheet" Target="/xl/worksheets/sheet1.xml" Id="R69188f5d74c94bd2" /><Relationship Type="http://schemas.openxmlformats.org/officeDocument/2006/relationships/worksheet" Target="/xl/worksheets/sheet2.xml" Id="R2be3e8efcafa4e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34" hidden="0" customWidth="1"/>
  </x:cols>
  <x:sheetData>
    <x:row r="1" ht="34" customHeight="1">
      <x:c r="A1" s="4" t="str">
        <x:v>华东电信云游戏增值服务项目｜项目测算分析报告</x:v>
      </x:c>
      <x:c r="B1" s="4" t="str">
        <x:v>华东电信云游戏增值服务项目｜项目测算分析报告</x:v>
      </x:c>
      <x:c r="C1" s="4" t="str">
        <x:v>华东电信云游戏增值服务项目｜项目测算分析报告</x:v>
      </x:c>
      <x:c r="D1" s="4" t="str">
        <x:v>华东电信云游戏增值服务项目｜项目测算分析报告</x:v>
      </x:c>
      <x:c r="E1" s="4" t="str">
        <x:v>华东电信云游戏增值服务项目｜项目测算分析报告</x:v>
      </x:c>
      <x:c r="F1" s="4" t="str">
        <x:v>华东电信云游戏增值服务项目｜项目测算分析报告</x:v>
      </x:c>
      <x:c r="G1" s="4" t="str">
        <x:v>华东电信云游戏增值服务项目｜项目测算分析报告</x:v>
      </x:c>
      <x:c r="H1" s="4" t="str">
        <x:v>华东电信云游戏增值服务项目｜项目测算分析报告</x:v>
      </x:c>
      <x:c r="I1" s="4" t="str">
        <x:v>华东电信云游戏增值服务项目｜项目测算分析报告</x:v>
      </x:c>
      <x:c r="J1" s="4" t="str">
        <x:v>华东电信云游戏增值服务项目｜项目测算分析报告</x:v>
      </x:c>
    </x:row>
    <x:row r="2">
      <x:c r="A2" s="10" t="str">
        <x:v>演示数据 · 基准方案 · 不含税口径 · 单位：万元 · 生成日期：2026-08-04</x:v>
      </x:c>
      <x:c r="B2" s="11"/>
      <x:c r="C2" s="11"/>
      <x:c r="D2" s="11"/>
      <x:c r="E2" s="11"/>
      <x:c r="F2" s="11"/>
      <x:c r="G2" s="11"/>
      <x:c r="H2" s="11"/>
      <x:c r="I2" s="11"/>
      <x:c r="J2" s="12"/>
    </x:row>
    <x:row r="4" ht="24" customHeight="1">
      <x:c r="A4" s="15" t="str">
        <x:v>一、核心指标</x:v>
      </x:c>
      <x:c r="B4" s="15" t="str">
        <x:v>一、核心指标</x:v>
      </x:c>
      <x:c r="C4" s="15" t="str">
        <x:v>一、核心指标</x:v>
      </x:c>
      <x:c r="D4" s="15" t="str">
        <x:v>一、核心指标</x:v>
      </x:c>
      <x:c r="E4" s="15" t="str">
        <x:v>一、核心指标</x:v>
      </x:c>
      <x:c r="F4" s="15" t="str">
        <x:v>一、核心指标</x:v>
      </x:c>
      <x:c r="G4" s="15" t="str">
        <x:v>一、核心指标</x:v>
      </x:c>
      <x:c r="H4" s="15" t="str">
        <x:v>一、核心指标</x:v>
      </x:c>
      <x:c r="I4" s="15" t="str">
        <x:v>一、核心指标</x:v>
      </x:c>
      <x:c r="J4" s="15" t="str">
        <x:v>一、核心指标</x:v>
      </x:c>
    </x:row>
    <x:row r="5" ht="24" customHeight="1">
      <x:c r="A5" s="20" t="str">
        <x:v>指标</x:v>
      </x:c>
      <x:c r="B5" s="20" t="str">
        <x:v>收入</x:v>
      </x:c>
      <x:c r="C5" s="20" t="str">
        <x:v>成本</x:v>
      </x:c>
      <x:c r="D5" s="20" t="str">
        <x:v>利润</x:v>
      </x:c>
      <x:c r="E5" s="20" t="str">
        <x:v>利润率</x:v>
      </x:c>
      <x:c r="F5" s="20" t="str">
        <x:v>ROI</x:v>
      </x:c>
      <x:c r="G5" s="20" t="str"/>
      <x:c r="H5" s="20" t="str">
        <x:v>项目周期</x:v>
      </x:c>
      <x:c r="I5" s="20" t="str">
        <x:v>申报部门</x:v>
      </x:c>
      <x:c r="J5" s="20" t="str">
        <x:v>方案</x:v>
      </x:c>
    </x:row>
    <x:row r="6" ht="28" customHeight="1">
      <x:c r="A6" s="33" t="str">
        <x:v>结果</x:v>
      </x:c>
      <x:c r="B6" s="31" t="n">
        <x:f>SUM(I10:I12)</x:f>
        <x:v>1358.4905660377358</x:v>
      </x:c>
      <x:c r="C6" s="31" t="n">
        <x:f>SUM(I13:I18)</x:f>
        <x:v>705.2830188679245</x:v>
      </x:c>
      <x:c r="D6" s="31" t="n">
        <x:f>B6-C6</x:f>
        <x:v>653.2075471698113</x:v>
      </x:c>
      <x:c r="E6" s="32" t="n">
        <x:f>IF(B6=0,0,D6/B6)</x:f>
        <x:v>0.48083333333333333</x:v>
      </x:c>
      <x:c r="F6" s="32" t="n">
        <x:f>IF(C6=0,0,D6/C6)</x:f>
        <x:v>0.9261637239165329</x:v>
      </x:c>
      <x:c r="G6" s="24" t="str"/>
      <x:c r="H6" s="34" t="str">
        <x:v>2026-01 至 2026-12</x:v>
      </x:c>
      <x:c r="I6" s="34" t="str">
        <x:v>互联网电视事业部</x:v>
      </x:c>
      <x:c r="J6" s="34" t="str">
        <x:v>基准方案</x:v>
      </x:c>
    </x:row>
    <x:row r="8" ht="24" customHeight="1">
      <x:c r="A8" s="15" t="str">
        <x:v>二、测算假设与输入</x:v>
      </x:c>
      <x:c r="B8" s="15" t="str">
        <x:v>二、测算假设与输入</x:v>
      </x:c>
      <x:c r="C8" s="15" t="str">
        <x:v>二、测算假设与输入</x:v>
      </x:c>
      <x:c r="D8" s="15" t="str">
        <x:v>二、测算假设与输入</x:v>
      </x:c>
      <x:c r="E8" s="15" t="str">
        <x:v>二、测算假设与输入</x:v>
      </x:c>
      <x:c r="F8" s="15" t="str">
        <x:v>二、测算假设与输入</x:v>
      </x:c>
      <x:c r="G8" s="15" t="str">
        <x:v>二、测算假设与输入</x:v>
      </x:c>
      <x:c r="H8" s="15" t="str">
        <x:v>二、测算假设与输入</x:v>
      </x:c>
      <x:c r="I8" s="15" t="str">
        <x:v>二、测算假设与输入</x:v>
      </x:c>
      <x:c r="J8" s="15" t="str">
        <x:v>二、测算假设与输入</x:v>
      </x:c>
    </x:row>
    <x:row r="9" ht="24" customHeight="1">
      <x:c r="A9" s="20" t="str">
        <x:v>类型</x:v>
      </x:c>
      <x:c r="B9" s="20" t="str">
        <x:v>测算项</x:v>
      </x:c>
      <x:c r="C9" s="20" t="str">
        <x:v>测算方式</x:v>
      </x:c>
      <x:c r="D9" s="20" t="str">
        <x:v>单价/比例</x:v>
      </x:c>
      <x:c r="E9" s="20" t="str">
        <x:v>数量</x:v>
      </x:c>
      <x:c r="F9" s="20" t="str">
        <x:v>月数</x:v>
      </x:c>
      <x:c r="G9" s="20" t="str">
        <x:v>含税合计</x:v>
      </x:c>
      <x:c r="H9" s="20" t="str">
        <x:v>税率</x:v>
      </x:c>
      <x:c r="I9" s="20" t="str">
        <x:v>不含税合计</x:v>
      </x:c>
      <x:c r="J9" s="20" t="str">
        <x:v>说明</x:v>
      </x:c>
    </x:row>
    <x:row r="10">
      <x:c r="A10" s="45" t="str">
        <x:v>收入</x:v>
      </x:c>
      <x:c r="B10" s="36" t="str">
        <x:v>平台会员服务收入</x:v>
      </x:c>
      <x:c r="C10" s="36" t="str">
        <x:v>单价×数量×周期</x:v>
      </x:c>
      <x:c r="D10" s="38" t="n">
        <x:v>0.0018</x:v>
      </x:c>
      <x:c r="E10" s="39" t="n">
        <x:v>50000</x:v>
      </x:c>
      <x:c r="F10" s="40" t="n">
        <x:v>12</x:v>
      </x:c>
      <x:c r="G10" s="41" t="n">
        <x:f>D10*E10*F10</x:f>
        <x:v>1080</x:v>
      </x:c>
      <x:c r="H10" s="42" t="n">
        <x:v>0.06</x:v>
      </x:c>
      <x:c r="I10" s="43" t="n">
        <x:f>G10/(1+H10)</x:f>
        <x:v>1018.8679245283018</x:v>
      </x:c>
      <x:c r="J10" s="44" t="str">
        <x:v>18元/户/月 × 50,000户 × 12个月</x:v>
      </x:c>
    </x:row>
    <x:row r="11">
      <x:c r="A11" s="45" t="str">
        <x:v>收入</x:v>
      </x:c>
      <x:c r="B11" s="36" t="str">
        <x:v>广告增值收入</x:v>
      </x:c>
      <x:c r="C11" s="36" t="str">
        <x:v>固定金额</x:v>
      </x:c>
      <x:c r="D11" s="38"/>
      <x:c r="E11" s="39"/>
      <x:c r="F11" s="40"/>
      <x:c r="G11" s="41" t="n">
        <x:v>240</x:v>
      </x:c>
      <x:c r="H11" s="42" t="n">
        <x:v>0.06</x:v>
      </x:c>
      <x:c r="I11" s="43" t="n">
        <x:f>G11/(1+H11)</x:f>
        <x:v>226.41509433962264</x:v>
      </x:c>
      <x:c r="J11" s="44" t="str">
        <x:v>项目周期内均摊</x:v>
      </x:c>
    </x:row>
    <x:row r="12">
      <x:c r="A12" s="45" t="str">
        <x:v>收入</x:v>
      </x:c>
      <x:c r="B12" s="36" t="str">
        <x:v>技术支持收入</x:v>
      </x:c>
      <x:c r="C12" s="36" t="str">
        <x:v>固定金额</x:v>
      </x:c>
      <x:c r="D12" s="38"/>
      <x:c r="E12" s="39"/>
      <x:c r="F12" s="40"/>
      <x:c r="G12" s="41" t="n">
        <x:v>120</x:v>
      </x:c>
      <x:c r="H12" s="42" t="n">
        <x:v>0.06</x:v>
      </x:c>
      <x:c r="I12" s="43" t="n">
        <x:f>G12/(1+H12)</x:f>
        <x:v>113.20754716981132</x:v>
      </x:c>
      <x:c r="J12" s="44" t="str">
        <x:v>项目周期内均摊</x:v>
      </x:c>
    </x:row>
    <x:row r="13">
      <x:c r="A13" s="46" t="str">
        <x:v>成本</x:v>
      </x:c>
      <x:c r="B13" s="36" t="str">
        <x:v>渠道服务费</x:v>
      </x:c>
      <x:c r="C13" s="36" t="str">
        <x:v>按收入比例</x:v>
      </x:c>
      <x:c r="D13" s="38" t="n">
        <x:v>0.12</x:v>
      </x:c>
      <x:c r="E13" s="39"/>
      <x:c r="F13" s="40"/>
      <x:c r="G13" s="41" t="n">
        <x:f>SUM($G$10:$G$12)*D13</x:f>
        <x:v>172.79999999999998</x:v>
      </x:c>
      <x:c r="H13" s="42" t="n">
        <x:v>0.06</x:v>
      </x:c>
      <x:c r="I13" s="43" t="n">
        <x:f>G13/(1+H13)</x:f>
        <x:v>163.01886792452828</x:v>
      </x:c>
      <x:c r="J13" s="44" t="str">
        <x:v>按收入合计的12%计提</x:v>
      </x:c>
    </x:row>
    <x:row r="14">
      <x:c r="A14" s="46" t="str">
        <x:v>成本</x:v>
      </x:c>
      <x:c r="B14" s="36" t="str">
        <x:v>CDN流量成本</x:v>
      </x:c>
      <x:c r="C14" s="36" t="str">
        <x:v>单价×数量×周期</x:v>
      </x:c>
      <x:c r="D14" s="38" t="n">
        <x:v>0.00012</x:v>
      </x:c>
      <x:c r="E14" s="39" t="n">
        <x:v>50000</x:v>
      </x:c>
      <x:c r="F14" s="40" t="n">
        <x:v>12</x:v>
      </x:c>
      <x:c r="G14" s="41" t="n">
        <x:f>D14*E14*F14</x:f>
        <x:v>72</x:v>
      </x:c>
      <x:c r="H14" s="42" t="n">
        <x:v>0.06</x:v>
      </x:c>
      <x:c r="I14" s="43" t="n">
        <x:f>G14/(1+H14)</x:f>
        <x:v>67.9245283018868</x:v>
      </x:c>
      <x:c r="J14" s="44" t="str">
        <x:v>1.2元/户/月 × 50,000户 × 12个月</x:v>
      </x:c>
    </x:row>
    <x:row r="15">
      <x:c r="A15" s="46" t="str">
        <x:v>成本</x:v>
      </x:c>
      <x:c r="B15" s="36" t="str">
        <x:v>专线费</x:v>
      </x:c>
      <x:c r="C15" s="36" t="str">
        <x:v>固定金额</x:v>
      </x:c>
      <x:c r="D15" s="38"/>
      <x:c r="E15" s="39"/>
      <x:c r="F15" s="40"/>
      <x:c r="G15" s="41" t="n">
        <x:v>36</x:v>
      </x:c>
      <x:c r="H15" s="42" t="n">
        <x:v>0.06</x:v>
      </x:c>
      <x:c r="I15" s="43" t="n">
        <x:f>G15/(1+H15)</x:f>
        <x:v>33.9622641509434</x:v>
      </x:c>
      <x:c r="J15" s="44" t="str">
        <x:v>项目周期内均摊</x:v>
      </x:c>
    </x:row>
    <x:row r="16">
      <x:c r="A16" s="46" t="str">
        <x:v>成本</x:v>
      </x:c>
      <x:c r="B16" s="36" t="str">
        <x:v>内容版权采购</x:v>
      </x:c>
      <x:c r="C16" s="36" t="str">
        <x:v>固定金额</x:v>
      </x:c>
      <x:c r="D16" s="38"/>
      <x:c r="E16" s="39"/>
      <x:c r="F16" s="40"/>
      <x:c r="G16" s="41" t="n">
        <x:v>180</x:v>
      </x:c>
      <x:c r="H16" s="42" t="n">
        <x:v>0.06</x:v>
      </x:c>
      <x:c r="I16" s="43" t="n">
        <x:f>G16/(1+H16)</x:f>
        <x:v>169.81132075471697</x:v>
      </x:c>
      <x:c r="J16" s="44" t="str">
        <x:v>项目周期内均摊</x:v>
      </x:c>
    </x:row>
    <x:row r="17">
      <x:c r="A17" s="46" t="str">
        <x:v>成本</x:v>
      </x:c>
      <x:c r="B17" s="36" t="str">
        <x:v>运营推广费</x:v>
      </x:c>
      <x:c r="C17" s="36" t="str">
        <x:v>固定金额</x:v>
      </x:c>
      <x:c r="D17" s="38"/>
      <x:c r="E17" s="39"/>
      <x:c r="F17" s="40"/>
      <x:c r="G17" s="41" t="n">
        <x:v>96</x:v>
      </x:c>
      <x:c r="H17" s="42" t="n">
        <x:v>0.06</x:v>
      </x:c>
      <x:c r="I17" s="43" t="n">
        <x:f>G17/(1+H17)</x:f>
        <x:v>90.56603773584905</x:v>
      </x:c>
      <x:c r="J17" s="44" t="str">
        <x:v>项目周期内均摊</x:v>
      </x:c>
    </x:row>
    <x:row r="18">
      <x:c r="A18" s="46" t="str">
        <x:v>成本</x:v>
      </x:c>
      <x:c r="B18" s="36" t="str">
        <x:v>项目运营团队</x:v>
      </x:c>
      <x:c r="C18" s="36" t="str">
        <x:v>固定金额</x:v>
      </x:c>
      <x:c r="D18" s="38"/>
      <x:c r="E18" s="39"/>
      <x:c r="F18" s="40"/>
      <x:c r="G18" s="41" t="n">
        <x:v>180</x:v>
      </x:c>
      <x:c r="H18" s="42" t="n">
        <x:v>0</x:v>
      </x:c>
      <x:c r="I18" s="43" t="n">
        <x:f>G18/(1+H18)</x:f>
        <x:v>180</x:v>
      </x:c>
      <x:c r="J18" s="44" t="str">
        <x:v>不计税，项目周期内均摊</x:v>
      </x:c>
    </x:row>
    <x:row r="20" ht="24" customHeight="1">
      <x:c r="A20" s="15" t="str">
        <x:v>三、年度利润情况</x:v>
      </x:c>
      <x:c r="B20" s="15" t="str">
        <x:v>三、年度利润情况</x:v>
      </x:c>
      <x:c r="C20" s="15" t="str">
        <x:v>三、年度利润情况</x:v>
      </x:c>
      <x:c r="D20" s="15" t="str">
        <x:v>三、年度利润情况</x:v>
      </x:c>
      <x:c r="E20" s="15" t="str">
        <x:v>三、年度利润情况</x:v>
      </x:c>
      <x:c r="F20" s="15" t="str">
        <x:v>三、年度利润情况</x:v>
      </x:c>
      <x:c r="G20" s="15" t="str">
        <x:v>三、年度利润情况</x:v>
      </x:c>
      <x:c r="H20" s="15" t="str">
        <x:v>三、年度利润情况</x:v>
      </x:c>
      <x:c r="I20" s="15" t="str">
        <x:v>三、年度利润情况</x:v>
      </x:c>
      <x:c r="J20" s="15" t="str">
        <x:v>三、年度利润情况</x:v>
      </x:c>
    </x:row>
    <x:row r="21" ht="24" customHeight="1">
      <x:c r="A21" s="20" t="str">
        <x:v>明细项目（不含税）</x:v>
      </x:c>
      <x:c r="B21" s="20" t="str">
        <x:v>2026年</x:v>
      </x:c>
      <x:c r="C21" s="20" t="str">
        <x:v>合计</x:v>
      </x:c>
    </x:row>
    <x:row r="22">
      <x:c r="A22" s="50" t="str">
        <x:v>收入</x:v>
      </x:c>
      <x:c r="B22" s="51" t="n">
        <x:f>SUM(I10:I12)</x:f>
        <x:v>1358.4905660377358</x:v>
      </x:c>
      <x:c r="C22" s="51" t="n">
        <x:f>B22</x:f>
        <x:v>1358.4905660377358</x:v>
      </x:c>
    </x:row>
    <x:row r="23">
      <x:c r="A23" s="36" t="str">
        <x:v>  平台会员服务收入</x:v>
      </x:c>
      <x:c r="B23" s="43" t="n">
        <x:f>I10</x:f>
        <x:v>1018.8679245283018</x:v>
      </x:c>
      <x:c r="C23" s="43" t="n">
        <x:f>B23</x:f>
        <x:v>1018.8679245283018</x:v>
      </x:c>
    </x:row>
    <x:row r="24">
      <x:c r="A24" s="36" t="str">
        <x:v>  广告增值收入</x:v>
      </x:c>
      <x:c r="B24" s="43" t="n">
        <x:f>I11</x:f>
        <x:v>226.41509433962264</x:v>
      </x:c>
      <x:c r="C24" s="43" t="n">
        <x:f>B24</x:f>
        <x:v>226.41509433962264</x:v>
      </x:c>
    </x:row>
    <x:row r="25">
      <x:c r="A25" s="36" t="str">
        <x:v>  技术支持收入</x:v>
      </x:c>
      <x:c r="B25" s="43" t="n">
        <x:f>I12</x:f>
        <x:v>113.20754716981132</x:v>
      </x:c>
      <x:c r="C25" s="43" t="n">
        <x:f>B25</x:f>
        <x:v>113.20754716981132</x:v>
      </x:c>
    </x:row>
    <x:row r="26">
      <x:c r="A26" s="50" t="str">
        <x:v>成本</x:v>
      </x:c>
      <x:c r="B26" s="51" t="n">
        <x:f>SUM(I13:I18)</x:f>
        <x:v>705.2830188679245</x:v>
      </x:c>
      <x:c r="C26" s="51" t="n">
        <x:f>B26</x:f>
        <x:v>705.2830188679245</x:v>
      </x:c>
    </x:row>
    <x:row r="27">
      <x:c r="A27" s="36" t="str">
        <x:v>  商务成本</x:v>
      </x:c>
      <x:c r="B27" s="43" t="n">
        <x:f>I13</x:f>
        <x:v>163.01886792452828</x:v>
      </x:c>
      <x:c r="C27" s="43" t="n">
        <x:f>B27</x:f>
        <x:v>163.01886792452828</x:v>
      </x:c>
    </x:row>
    <x:row r="28">
      <x:c r="A28" s="36" t="str">
        <x:v>  技术成本</x:v>
      </x:c>
      <x:c r="B28" s="43" t="n">
        <x:f>SUM(I14:I15)</x:f>
        <x:v>101.88679245283019</x:v>
      </x:c>
      <x:c r="C28" s="43" t="n">
        <x:f>B28</x:f>
        <x:v>101.88679245283019</x:v>
      </x:c>
    </x:row>
    <x:row r="29">
      <x:c r="A29" s="36" t="str">
        <x:v>  版权成本</x:v>
      </x:c>
      <x:c r="B29" s="43" t="n">
        <x:f>I16</x:f>
        <x:v>169.81132075471697</x:v>
      </x:c>
      <x:c r="C29" s="43" t="n">
        <x:f>B29</x:f>
        <x:v>169.81132075471697</x:v>
      </x:c>
    </x:row>
    <x:row r="30">
      <x:c r="A30" s="36" t="str">
        <x:v>  营销成本</x:v>
      </x:c>
      <x:c r="B30" s="43" t="n">
        <x:f>I17</x:f>
        <x:v>90.56603773584905</x:v>
      </x:c>
      <x:c r="C30" s="43" t="n">
        <x:f>B30</x:f>
        <x:v>90.56603773584905</x:v>
      </x:c>
    </x:row>
    <x:row r="31">
      <x:c r="A31" s="36" t="str">
        <x:v>  人力成本</x:v>
      </x:c>
      <x:c r="B31" s="43" t="n">
        <x:f>I18</x:f>
        <x:v>180</x:v>
      </x:c>
      <x:c r="C31" s="43" t="n">
        <x:f>B31</x:f>
        <x:v>180</x:v>
      </x:c>
    </x:row>
    <x:row r="32">
      <x:c r="A32" s="54" t="str">
        <x:v>利润</x:v>
      </x:c>
      <x:c r="B32" s="55" t="n">
        <x:f>B22-B26</x:f>
        <x:v>653.2075471698113</x:v>
      </x:c>
      <x:c r="C32" s="55" t="n">
        <x:f>B32</x:f>
        <x:v>653.2075471698113</x:v>
      </x:c>
    </x:row>
    <x:row r="33">
      <x:c r="A33" s="57" t="str">
        <x:v>利润率</x:v>
      </x:c>
      <x:c r="B33" s="58" t="n">
        <x:f>IF(B22=0,0,B32/B22)</x:f>
        <x:v>0.48083333333333333</x:v>
      </x:c>
      <x:c r="C33" s="58" t="n">
        <x:f>B33</x:f>
        <x:v>0.48083333333333333</x:v>
      </x:c>
    </x:row>
    <x:row r="35" ht="24" customHeight="1">
      <x:c r="A35" s="15" t="str">
        <x:v>四、主要结论与提示</x:v>
      </x:c>
      <x:c r="B35" s="15" t="str">
        <x:v>四、主要结论与提示</x:v>
      </x:c>
      <x:c r="C35" s="15" t="str">
        <x:v>四、主要结论与提示</x:v>
      </x:c>
      <x:c r="D35" s="15" t="str">
        <x:v>四、主要结论与提示</x:v>
      </x:c>
      <x:c r="E35" s="15" t="str">
        <x:v>四、主要结论与提示</x:v>
      </x:c>
      <x:c r="F35" s="15" t="str">
        <x:v>四、主要结论与提示</x:v>
      </x:c>
      <x:c r="G35" s="15" t="str">
        <x:v>四、主要结论与提示</x:v>
      </x:c>
      <x:c r="H35" s="15" t="str">
        <x:v>四、主要结论与提示</x:v>
      </x:c>
      <x:c r="I35" s="15" t="str">
        <x:v>四、主要结论与提示</x:v>
      </x:c>
      <x:c r="J35" s="15" t="str">
        <x:v>四、主要结论与提示</x:v>
      </x:c>
    </x:row>
    <x:row r="36">
      <x:c r="A36" s="78" t="str">
        <x:v>基准方案预计实现不含税收入 1,358.49 万元、成本 705.28 万元、利润 653.21 万元，利润率约 48.08%，ROI 约 92.62%。项目盈利空间正常；成本结构中渠道服务费和项目运营团队占比较高，建议在正式落地前重点复核渠道分成比例、用户规模与持续运营投入。</x:v>
      </x:c>
      <x:c r="B36" s="79"/>
      <x:c r="C36" s="79"/>
      <x:c r="D36" s="79"/>
      <x:c r="E36" s="79"/>
      <x:c r="F36" s="79"/>
      <x:c r="G36" s="79"/>
      <x:c r="H36" s="79"/>
      <x:c r="I36" s="79"/>
      <x:c r="J36" s="80"/>
    </x:row>
    <x:row r="37">
      <x:c r="A37" s="81"/>
      <x:c r="B37" s="82"/>
      <x:c r="C37" s="82"/>
      <x:c r="D37" s="82"/>
      <x:c r="E37" s="82"/>
      <x:c r="F37" s="82"/>
      <x:c r="G37" s="82"/>
      <x:c r="H37" s="82"/>
      <x:c r="I37" s="82"/>
      <x:c r="J37" s="83"/>
    </x:row>
    <x:row r="38">
      <x:c r="A38" s="84"/>
      <x:c r="B38" s="85"/>
      <x:c r="C38" s="85"/>
      <x:c r="D38" s="85"/>
      <x:c r="E38" s="85"/>
      <x:c r="F38" s="85"/>
      <x:c r="G38" s="85"/>
      <x:c r="H38" s="85"/>
      <x:c r="I38" s="85"/>
      <x:c r="J38" s="86"/>
    </x:row>
    <x:row r="40">
      <x:c r="A40" s="88" t="str">
        <x:v>说明：本文件为 V3.1 原型输出结构演示，全部数据为模拟数据，不代表真实业务结论。蓝色字体为可调整假设，黑色数字为公式结果。</x:v>
      </x:c>
      <x:c r="B40" s="88"/>
      <x:c r="C40" s="88"/>
      <x:c r="D40" s="88"/>
      <x:c r="E40" s="88"/>
      <x:c r="F40" s="88"/>
      <x:c r="G40" s="88"/>
      <x:c r="H40" s="88"/>
      <x:c r="I40" s="88"/>
      <x:c r="J40" s="88"/>
    </x:row>
  </x:sheetData>
  <x:mergeCells>
    <x:mergeCell ref="A1:J1"/>
    <x:mergeCell ref="A2:J2"/>
    <x:mergeCell ref="A4:J4"/>
    <x:mergeCell ref="A8:J8"/>
    <x:mergeCell ref="A20:J20"/>
    <x:mergeCell ref="A35:J35"/>
    <x:mergeCell ref="A36:J38"/>
    <x:mergeCell ref="A40:J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4" customHeight="1">
      <x:c r="A1" s="4" t="str">
        <x:v>华东电信云游戏增值服务项目｜月度明细</x:v>
      </x:c>
      <x:c r="B1" s="4" t="str">
        <x:v>华东电信云游戏增值服务项目｜月度明细</x:v>
      </x:c>
      <x:c r="C1" s="4" t="str">
        <x:v>华东电信云游戏增值服务项目｜月度明细</x:v>
      </x:c>
      <x:c r="D1" s="4" t="str">
        <x:v>华东电信云游戏增值服务项目｜月度明细</x:v>
      </x:c>
      <x:c r="E1" s="4" t="str">
        <x:v>华东电信云游戏增值服务项目｜月度明细</x:v>
      </x:c>
      <x:c r="F1" s="4" t="str">
        <x:v>华东电信云游戏增值服务项目｜月度明细</x:v>
      </x:c>
      <x:c r="G1" s="4" t="str">
        <x:v>华东电信云游戏增值服务项目｜月度明细</x:v>
      </x:c>
      <x:c r="H1" s="4" t="str">
        <x:v>华东电信云游戏增值服务项目｜月度明细</x:v>
      </x:c>
      <x:c r="I1" s="4" t="str">
        <x:v>华东电信云游戏增值服务项目｜月度明细</x:v>
      </x:c>
      <x:c r="J1" s="4" t="str">
        <x:v>华东电信云游戏增值服务项目｜月度明细</x:v>
      </x:c>
      <x:c r="K1" s="4" t="str">
        <x:v>华东电信云游戏增值服务项目｜月度明细</x:v>
      </x:c>
      <x:c r="L1" s="4" t="str">
        <x:v>华东电信云游戏增值服务项目｜月度明细</x:v>
      </x:c>
      <x:c r="M1" s="4" t="str">
        <x:v>华东电信云游戏增值服务项目｜月度明细</x:v>
      </x:c>
      <x:c r="N1" s="4" t="str">
        <x:v>华东电信云游戏增值服务项目｜月度明细</x:v>
      </x:c>
    </x:row>
    <x:row r="2">
      <x:c r="A2" s="93" t="str">
        <x:v>基准方案 · 不含税口径 · 单位：万元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5"/>
    </x:row>
    <x:row r="4" ht="24" customHeight="1">
      <x:c r="A4" s="20" t="str">
        <x:v>指标 / 测算项</x:v>
      </x:c>
      <x:c r="B4" s="20" t="str">
        <x:v>2026-01</x:v>
      </x:c>
      <x:c r="C4" s="20" t="str">
        <x:v>2026-02</x:v>
      </x:c>
      <x:c r="D4" s="20" t="str">
        <x:v>2026-03</x:v>
      </x:c>
      <x:c r="E4" s="20" t="str">
        <x:v>2026-04</x:v>
      </x:c>
      <x:c r="F4" s="20" t="str">
        <x:v>2026-05</x:v>
      </x:c>
      <x:c r="G4" s="20" t="str">
        <x:v>2026-06</x:v>
      </x:c>
      <x:c r="H4" s="20" t="str">
        <x:v>2026-07</x:v>
      </x:c>
      <x:c r="I4" s="20" t="str">
        <x:v>2026-08</x:v>
      </x:c>
      <x:c r="J4" s="20" t="str">
        <x:v>2026-09</x:v>
      </x:c>
      <x:c r="K4" s="20" t="str">
        <x:v>2026-10</x:v>
      </x:c>
      <x:c r="L4" s="20" t="str">
        <x:v>2026-11</x:v>
      </x:c>
      <x:c r="M4" s="20" t="str">
        <x:v>2026-12</x:v>
      </x:c>
      <x:c r="N4" s="20" t="str">
        <x:v>合计</x:v>
      </x:c>
    </x:row>
    <x:row r="5">
      <x:c r="A5" s="50" t="str">
        <x:v>收入</x:v>
      </x:c>
      <x:c r="B5" s="51" t="n">
        <x:f>SUM(B6:B8)</x:f>
        <x:v>113.20754716981132</x:v>
      </x:c>
      <x:c r="C5" s="51" t="n">
        <x:f>SUM(C6:C8)</x:f>
        <x:v>113.20754716981132</x:v>
      </x:c>
      <x:c r="D5" s="51" t="n">
        <x:f>SUM(D6:D8)</x:f>
        <x:v>113.20754716981132</x:v>
      </x:c>
      <x:c r="E5" s="51" t="n">
        <x:f>SUM(E6:E8)</x:f>
        <x:v>113.20754716981132</x:v>
      </x:c>
      <x:c r="F5" s="51" t="n">
        <x:f>SUM(F6:F8)</x:f>
        <x:v>113.20754716981132</x:v>
      </x:c>
      <x:c r="G5" s="51" t="n">
        <x:f>SUM(G6:G8)</x:f>
        <x:v>113.20754716981132</x:v>
      </x:c>
      <x:c r="H5" s="51" t="n">
        <x:f>SUM(H6:H8)</x:f>
        <x:v>113.20754716981132</x:v>
      </x:c>
      <x:c r="I5" s="51" t="n">
        <x:f>SUM(I6:I8)</x:f>
        <x:v>113.20754716981132</x:v>
      </x:c>
      <x:c r="J5" s="51" t="n">
        <x:f>SUM(J6:J8)</x:f>
        <x:v>113.20754716981132</x:v>
      </x:c>
      <x:c r="K5" s="51" t="n">
        <x:f>SUM(K6:K8)</x:f>
        <x:v>113.20754716981132</x:v>
      </x:c>
      <x:c r="L5" s="51" t="n">
        <x:f>SUM(L6:L8)</x:f>
        <x:v>113.20754716981132</x:v>
      </x:c>
      <x:c r="M5" s="51" t="n">
        <x:f>SUM(M6:M8)</x:f>
        <x:v>113.20754716981132</x:v>
      </x:c>
      <x:c r="N5" s="51" t="n">
        <x:f>SUM(B5:M5)</x:f>
        <x:v>1358.4905660377356</x:v>
      </x:c>
    </x:row>
    <x:row r="6">
      <x:c r="A6" s="36" t="str">
        <x:v>  平台会员服务收入</x:v>
      </x:c>
      <x:c r="B6" s="43" t="n">
        <x:f>'测算报告'!$I$10/12</x:f>
        <x:v>84.90566037735849</x:v>
      </x:c>
      <x:c r="C6" s="43" t="n">
        <x:f>'测算报告'!$I$10/12</x:f>
        <x:v>84.90566037735849</x:v>
      </x:c>
      <x:c r="D6" s="43" t="n">
        <x:f>'测算报告'!$I$10/12</x:f>
        <x:v>84.90566037735849</x:v>
      </x:c>
      <x:c r="E6" s="43" t="n">
        <x:f>'测算报告'!$I$10/12</x:f>
        <x:v>84.90566037735849</x:v>
      </x:c>
      <x:c r="F6" s="43" t="n">
        <x:f>'测算报告'!$I$10/12</x:f>
        <x:v>84.90566037735849</x:v>
      </x:c>
      <x:c r="G6" s="43" t="n">
        <x:f>'测算报告'!$I$10/12</x:f>
        <x:v>84.90566037735849</x:v>
      </x:c>
      <x:c r="H6" s="43" t="n">
        <x:f>'测算报告'!$I$10/12</x:f>
        <x:v>84.90566037735849</x:v>
      </x:c>
      <x:c r="I6" s="43" t="n">
        <x:f>'测算报告'!$I$10/12</x:f>
        <x:v>84.90566037735849</x:v>
      </x:c>
      <x:c r="J6" s="43" t="n">
        <x:f>'测算报告'!$I$10/12</x:f>
        <x:v>84.90566037735849</x:v>
      </x:c>
      <x:c r="K6" s="43" t="n">
        <x:f>'测算报告'!$I$10/12</x:f>
        <x:v>84.90566037735849</x:v>
      </x:c>
      <x:c r="L6" s="43" t="n">
        <x:f>'测算报告'!$I$10/12</x:f>
        <x:v>84.90566037735849</x:v>
      </x:c>
      <x:c r="M6" s="43" t="n">
        <x:f>'测算报告'!$I$10/12</x:f>
        <x:v>84.90566037735849</x:v>
      </x:c>
      <x:c r="N6" s="43" t="n">
        <x:f>SUM(B6:M6)</x:f>
        <x:v>1018.8679245283016</x:v>
      </x:c>
    </x:row>
    <x:row r="7">
      <x:c r="A7" s="36" t="str">
        <x:v>  广告增值收入</x:v>
      </x:c>
      <x:c r="B7" s="43" t="n">
        <x:f>'测算报告'!$I$11/12</x:f>
        <x:v>18.867924528301888</x:v>
      </x:c>
      <x:c r="C7" s="43" t="n">
        <x:f>'测算报告'!$I$11/12</x:f>
        <x:v>18.867924528301888</x:v>
      </x:c>
      <x:c r="D7" s="43" t="n">
        <x:f>'测算报告'!$I$11/12</x:f>
        <x:v>18.867924528301888</x:v>
      </x:c>
      <x:c r="E7" s="43" t="n">
        <x:f>'测算报告'!$I$11/12</x:f>
        <x:v>18.867924528301888</x:v>
      </x:c>
      <x:c r="F7" s="43" t="n">
        <x:f>'测算报告'!$I$11/12</x:f>
        <x:v>18.867924528301888</x:v>
      </x:c>
      <x:c r="G7" s="43" t="n">
        <x:f>'测算报告'!$I$11/12</x:f>
        <x:v>18.867924528301888</x:v>
      </x:c>
      <x:c r="H7" s="43" t="n">
        <x:f>'测算报告'!$I$11/12</x:f>
        <x:v>18.867924528301888</x:v>
      </x:c>
      <x:c r="I7" s="43" t="n">
        <x:f>'测算报告'!$I$11/12</x:f>
        <x:v>18.867924528301888</x:v>
      </x:c>
      <x:c r="J7" s="43" t="n">
        <x:f>'测算报告'!$I$11/12</x:f>
        <x:v>18.867924528301888</x:v>
      </x:c>
      <x:c r="K7" s="43" t="n">
        <x:f>'测算报告'!$I$11/12</x:f>
        <x:v>18.867924528301888</x:v>
      </x:c>
      <x:c r="L7" s="43" t="n">
        <x:f>'测算报告'!$I$11/12</x:f>
        <x:v>18.867924528301888</x:v>
      </x:c>
      <x:c r="M7" s="43" t="n">
        <x:f>'测算报告'!$I$11/12</x:f>
        <x:v>18.867924528301888</x:v>
      </x:c>
      <x:c r="N7" s="43" t="n">
        <x:f>SUM(B7:M7)</x:f>
        <x:v>226.4150943396227</x:v>
      </x:c>
    </x:row>
    <x:row r="8">
      <x:c r="A8" s="36" t="str">
        <x:v>  技术支持收入</x:v>
      </x:c>
      <x:c r="B8" s="43" t="n">
        <x:f>'测算报告'!$I$12/12</x:f>
        <x:v>9.433962264150944</x:v>
      </x:c>
      <x:c r="C8" s="43" t="n">
        <x:f>'测算报告'!$I$12/12</x:f>
        <x:v>9.433962264150944</x:v>
      </x:c>
      <x:c r="D8" s="43" t="n">
        <x:f>'测算报告'!$I$12/12</x:f>
        <x:v>9.433962264150944</x:v>
      </x:c>
      <x:c r="E8" s="43" t="n">
        <x:f>'测算报告'!$I$12/12</x:f>
        <x:v>9.433962264150944</x:v>
      </x:c>
      <x:c r="F8" s="43" t="n">
        <x:f>'测算报告'!$I$12/12</x:f>
        <x:v>9.433962264150944</x:v>
      </x:c>
      <x:c r="G8" s="43" t="n">
        <x:f>'测算报告'!$I$12/12</x:f>
        <x:v>9.433962264150944</x:v>
      </x:c>
      <x:c r="H8" s="43" t="n">
        <x:f>'测算报告'!$I$12/12</x:f>
        <x:v>9.433962264150944</x:v>
      </x:c>
      <x:c r="I8" s="43" t="n">
        <x:f>'测算报告'!$I$12/12</x:f>
        <x:v>9.433962264150944</x:v>
      </x:c>
      <x:c r="J8" s="43" t="n">
        <x:f>'测算报告'!$I$12/12</x:f>
        <x:v>9.433962264150944</x:v>
      </x:c>
      <x:c r="K8" s="43" t="n">
        <x:f>'测算报告'!$I$12/12</x:f>
        <x:v>9.433962264150944</x:v>
      </x:c>
      <x:c r="L8" s="43" t="n">
        <x:f>'测算报告'!$I$12/12</x:f>
        <x:v>9.433962264150944</x:v>
      </x:c>
      <x:c r="M8" s="43" t="n">
        <x:f>'测算报告'!$I$12/12</x:f>
        <x:v>9.433962264150944</x:v>
      </x:c>
      <x:c r="N8" s="43" t="n">
        <x:f>SUM(B8:M8)</x:f>
        <x:v>113.20754716981135</x:v>
      </x:c>
    </x:row>
    <x:row r="9">
      <x:c r="A9" s="50" t="str">
        <x:v>成本</x:v>
      </x:c>
      <x:c r="B9" s="51" t="n">
        <x:f>SUM(B10:B15)</x:f>
        <x:v>58.77358490566038</x:v>
      </x:c>
      <x:c r="C9" s="51" t="n">
        <x:f>SUM(C10:C15)</x:f>
        <x:v>58.77358490566038</x:v>
      </x:c>
      <x:c r="D9" s="51" t="n">
        <x:f>SUM(D10:D15)</x:f>
        <x:v>58.77358490566038</x:v>
      </x:c>
      <x:c r="E9" s="51" t="n">
        <x:f>SUM(E10:E15)</x:f>
        <x:v>58.77358490566038</x:v>
      </x:c>
      <x:c r="F9" s="51" t="n">
        <x:f>SUM(F10:F15)</x:f>
        <x:v>58.77358490566038</x:v>
      </x:c>
      <x:c r="G9" s="51" t="n">
        <x:f>SUM(G10:G15)</x:f>
        <x:v>58.77358490566038</x:v>
      </x:c>
      <x:c r="H9" s="51" t="n">
        <x:f>SUM(H10:H15)</x:f>
        <x:v>58.77358490566038</x:v>
      </x:c>
      <x:c r="I9" s="51" t="n">
        <x:f>SUM(I10:I15)</x:f>
        <x:v>58.77358490566038</x:v>
      </x:c>
      <x:c r="J9" s="51" t="n">
        <x:f>SUM(J10:J15)</x:f>
        <x:v>58.77358490566038</x:v>
      </x:c>
      <x:c r="K9" s="51" t="n">
        <x:f>SUM(K10:K15)</x:f>
        <x:v>58.77358490566038</x:v>
      </x:c>
      <x:c r="L9" s="51" t="n">
        <x:f>SUM(L10:L15)</x:f>
        <x:v>58.77358490566038</x:v>
      </x:c>
      <x:c r="M9" s="51" t="n">
        <x:f>SUM(M10:M15)</x:f>
        <x:v>58.77358490566038</x:v>
      </x:c>
      <x:c r="N9" s="51" t="n">
        <x:f>SUM(B9:M9)</x:f>
        <x:v>705.2830188679246</x:v>
      </x:c>
    </x:row>
    <x:row r="10">
      <x:c r="A10" s="36" t="str">
        <x:v>  渠道服务费</x:v>
      </x:c>
      <x:c r="B10" s="43" t="n">
        <x:f>'测算报告'!$I$13/12</x:f>
        <x:v>13.584905660377357</x:v>
      </x:c>
      <x:c r="C10" s="43" t="n">
        <x:f>'测算报告'!$I$13/12</x:f>
        <x:v>13.584905660377357</x:v>
      </x:c>
      <x:c r="D10" s="43" t="n">
        <x:f>'测算报告'!$I$13/12</x:f>
        <x:v>13.584905660377357</x:v>
      </x:c>
      <x:c r="E10" s="43" t="n">
        <x:f>'测算报告'!$I$13/12</x:f>
        <x:v>13.584905660377357</x:v>
      </x:c>
      <x:c r="F10" s="43" t="n">
        <x:f>'测算报告'!$I$13/12</x:f>
        <x:v>13.584905660377357</x:v>
      </x:c>
      <x:c r="G10" s="43" t="n">
        <x:f>'测算报告'!$I$13/12</x:f>
        <x:v>13.584905660377357</x:v>
      </x:c>
      <x:c r="H10" s="43" t="n">
        <x:f>'测算报告'!$I$13/12</x:f>
        <x:v>13.584905660377357</x:v>
      </x:c>
      <x:c r="I10" s="43" t="n">
        <x:f>'测算报告'!$I$13/12</x:f>
        <x:v>13.584905660377357</x:v>
      </x:c>
      <x:c r="J10" s="43" t="n">
        <x:f>'测算报告'!$I$13/12</x:f>
        <x:v>13.584905660377357</x:v>
      </x:c>
      <x:c r="K10" s="43" t="n">
        <x:f>'测算报告'!$I$13/12</x:f>
        <x:v>13.584905660377357</x:v>
      </x:c>
      <x:c r="L10" s="43" t="n">
        <x:f>'测算报告'!$I$13/12</x:f>
        <x:v>13.584905660377357</x:v>
      </x:c>
      <x:c r="M10" s="43" t="n">
        <x:f>'测算报告'!$I$13/12</x:f>
        <x:v>13.584905660377357</x:v>
      </x:c>
      <x:c r="N10" s="43" t="n">
        <x:f>SUM(B10:M10)</x:f>
        <x:v>163.01886792452828</x:v>
      </x:c>
    </x:row>
    <x:row r="11">
      <x:c r="A11" s="36" t="str">
        <x:v>  CDN流量成本</x:v>
      </x:c>
      <x:c r="B11" s="43" t="n">
        <x:f>'测算报告'!$I$14/12</x:f>
        <x:v>5.660377358490567</x:v>
      </x:c>
      <x:c r="C11" s="43" t="n">
        <x:f>'测算报告'!$I$14/12</x:f>
        <x:v>5.660377358490567</x:v>
      </x:c>
      <x:c r="D11" s="43" t="n">
        <x:f>'测算报告'!$I$14/12</x:f>
        <x:v>5.660377358490567</x:v>
      </x:c>
      <x:c r="E11" s="43" t="n">
        <x:f>'测算报告'!$I$14/12</x:f>
        <x:v>5.660377358490567</x:v>
      </x:c>
      <x:c r="F11" s="43" t="n">
        <x:f>'测算报告'!$I$14/12</x:f>
        <x:v>5.660377358490567</x:v>
      </x:c>
      <x:c r="G11" s="43" t="n">
        <x:f>'测算报告'!$I$14/12</x:f>
        <x:v>5.660377358490567</x:v>
      </x:c>
      <x:c r="H11" s="43" t="n">
        <x:f>'测算报告'!$I$14/12</x:f>
        <x:v>5.660377358490567</x:v>
      </x:c>
      <x:c r="I11" s="43" t="n">
        <x:f>'测算报告'!$I$14/12</x:f>
        <x:v>5.660377358490567</x:v>
      </x:c>
      <x:c r="J11" s="43" t="n">
        <x:f>'测算报告'!$I$14/12</x:f>
        <x:v>5.660377358490567</x:v>
      </x:c>
      <x:c r="K11" s="43" t="n">
        <x:f>'测算报告'!$I$14/12</x:f>
        <x:v>5.660377358490567</x:v>
      </x:c>
      <x:c r="L11" s="43" t="n">
        <x:f>'测算报告'!$I$14/12</x:f>
        <x:v>5.660377358490567</x:v>
      </x:c>
      <x:c r="M11" s="43" t="n">
        <x:f>'测算报告'!$I$14/12</x:f>
        <x:v>5.660377358490567</x:v>
      </x:c>
      <x:c r="N11" s="43" t="n">
        <x:f>SUM(B11:M11)</x:f>
        <x:v>67.92452830188678</x:v>
      </x:c>
    </x:row>
    <x:row r="12">
      <x:c r="A12" s="36" t="str">
        <x:v>  专线费</x:v>
      </x:c>
      <x:c r="B12" s="43" t="n">
        <x:f>'测算报告'!$I$15/12</x:f>
        <x:v>2.8301886792452833</x:v>
      </x:c>
      <x:c r="C12" s="43" t="n">
        <x:f>'测算报告'!$I$15/12</x:f>
        <x:v>2.8301886792452833</x:v>
      </x:c>
      <x:c r="D12" s="43" t="n">
        <x:f>'测算报告'!$I$15/12</x:f>
        <x:v>2.8301886792452833</x:v>
      </x:c>
      <x:c r="E12" s="43" t="n">
        <x:f>'测算报告'!$I$15/12</x:f>
        <x:v>2.8301886792452833</x:v>
      </x:c>
      <x:c r="F12" s="43" t="n">
        <x:f>'测算报告'!$I$15/12</x:f>
        <x:v>2.8301886792452833</x:v>
      </x:c>
      <x:c r="G12" s="43" t="n">
        <x:f>'测算报告'!$I$15/12</x:f>
        <x:v>2.8301886792452833</x:v>
      </x:c>
      <x:c r="H12" s="43" t="n">
        <x:f>'测算报告'!$I$15/12</x:f>
        <x:v>2.8301886792452833</x:v>
      </x:c>
      <x:c r="I12" s="43" t="n">
        <x:f>'测算报告'!$I$15/12</x:f>
        <x:v>2.8301886792452833</x:v>
      </x:c>
      <x:c r="J12" s="43" t="n">
        <x:f>'测算报告'!$I$15/12</x:f>
        <x:v>2.8301886792452833</x:v>
      </x:c>
      <x:c r="K12" s="43" t="n">
        <x:f>'测算报告'!$I$15/12</x:f>
        <x:v>2.8301886792452833</x:v>
      </x:c>
      <x:c r="L12" s="43" t="n">
        <x:f>'测算报告'!$I$15/12</x:f>
        <x:v>2.8301886792452833</x:v>
      </x:c>
      <x:c r="M12" s="43" t="n">
        <x:f>'测算报告'!$I$15/12</x:f>
        <x:v>2.8301886792452833</x:v>
      </x:c>
      <x:c r="N12" s="43" t="n">
        <x:f>SUM(B12:M12)</x:f>
        <x:v>33.96226415094339</x:v>
      </x:c>
    </x:row>
    <x:row r="13">
      <x:c r="A13" s="36" t="str">
        <x:v>  内容版权采购</x:v>
      </x:c>
      <x:c r="B13" s="43" t="n">
        <x:f>'测算报告'!$I$16/12</x:f>
        <x:v>14.150943396226415</x:v>
      </x:c>
      <x:c r="C13" s="43" t="n">
        <x:f>'测算报告'!$I$16/12</x:f>
        <x:v>14.150943396226415</x:v>
      </x:c>
      <x:c r="D13" s="43" t="n">
        <x:f>'测算报告'!$I$16/12</x:f>
        <x:v>14.150943396226415</x:v>
      </x:c>
      <x:c r="E13" s="43" t="n">
        <x:f>'测算报告'!$I$16/12</x:f>
        <x:v>14.150943396226415</x:v>
      </x:c>
      <x:c r="F13" s="43" t="n">
        <x:f>'测算报告'!$I$16/12</x:f>
        <x:v>14.150943396226415</x:v>
      </x:c>
      <x:c r="G13" s="43" t="n">
        <x:f>'测算报告'!$I$16/12</x:f>
        <x:v>14.150943396226415</x:v>
      </x:c>
      <x:c r="H13" s="43" t="n">
        <x:f>'测算报告'!$I$16/12</x:f>
        <x:v>14.150943396226415</x:v>
      </x:c>
      <x:c r="I13" s="43" t="n">
        <x:f>'测算报告'!$I$16/12</x:f>
        <x:v>14.150943396226415</x:v>
      </x:c>
      <x:c r="J13" s="43" t="n">
        <x:f>'测算报告'!$I$16/12</x:f>
        <x:v>14.150943396226415</x:v>
      </x:c>
      <x:c r="K13" s="43" t="n">
        <x:f>'测算报告'!$I$16/12</x:f>
        <x:v>14.150943396226415</x:v>
      </x:c>
      <x:c r="L13" s="43" t="n">
        <x:f>'测算报告'!$I$16/12</x:f>
        <x:v>14.150943396226415</x:v>
      </x:c>
      <x:c r="M13" s="43" t="n">
        <x:f>'测算报告'!$I$16/12</x:f>
        <x:v>14.150943396226415</x:v>
      </x:c>
      <x:c r="N13" s="43" t="n">
        <x:f>SUM(B13:M13)</x:f>
        <x:v>169.81132075471695</x:v>
      </x:c>
    </x:row>
    <x:row r="14">
      <x:c r="A14" s="36" t="str">
        <x:v>  运营推广费</x:v>
      </x:c>
      <x:c r="B14" s="43" t="n">
        <x:f>'测算报告'!$I$17/12</x:f>
        <x:v>7.547169811320754</x:v>
      </x:c>
      <x:c r="C14" s="43" t="n">
        <x:f>'测算报告'!$I$17/12</x:f>
        <x:v>7.547169811320754</x:v>
      </x:c>
      <x:c r="D14" s="43" t="n">
        <x:f>'测算报告'!$I$17/12</x:f>
        <x:v>7.547169811320754</x:v>
      </x:c>
      <x:c r="E14" s="43" t="n">
        <x:f>'测算报告'!$I$17/12</x:f>
        <x:v>7.547169811320754</x:v>
      </x:c>
      <x:c r="F14" s="43" t="n">
        <x:f>'测算报告'!$I$17/12</x:f>
        <x:v>7.547169811320754</x:v>
      </x:c>
      <x:c r="G14" s="43" t="n">
        <x:f>'测算报告'!$I$17/12</x:f>
        <x:v>7.547169811320754</x:v>
      </x:c>
      <x:c r="H14" s="43" t="n">
        <x:f>'测算报告'!$I$17/12</x:f>
        <x:v>7.547169811320754</x:v>
      </x:c>
      <x:c r="I14" s="43" t="n">
        <x:f>'测算报告'!$I$17/12</x:f>
        <x:v>7.547169811320754</x:v>
      </x:c>
      <x:c r="J14" s="43" t="n">
        <x:f>'测算报告'!$I$17/12</x:f>
        <x:v>7.547169811320754</x:v>
      </x:c>
      <x:c r="K14" s="43" t="n">
        <x:f>'测算报告'!$I$17/12</x:f>
        <x:v>7.547169811320754</x:v>
      </x:c>
      <x:c r="L14" s="43" t="n">
        <x:f>'测算报告'!$I$17/12</x:f>
        <x:v>7.547169811320754</x:v>
      </x:c>
      <x:c r="M14" s="43" t="n">
        <x:f>'测算报告'!$I$17/12</x:f>
        <x:v>7.547169811320754</x:v>
      </x:c>
      <x:c r="N14" s="43" t="n">
        <x:f>SUM(B14:M14)</x:f>
        <x:v>90.56603773584906</x:v>
      </x:c>
    </x:row>
    <x:row r="15">
      <x:c r="A15" s="36" t="str">
        <x:v>  项目运营团队</x:v>
      </x:c>
      <x:c r="B15" s="43" t="n">
        <x:f>'测算报告'!$I$18/12</x:f>
        <x:v>15</x:v>
      </x:c>
      <x:c r="C15" s="43" t="n">
        <x:f>'测算报告'!$I$18/12</x:f>
        <x:v>15</x:v>
      </x:c>
      <x:c r="D15" s="43" t="n">
        <x:f>'测算报告'!$I$18/12</x:f>
        <x:v>15</x:v>
      </x:c>
      <x:c r="E15" s="43" t="n">
        <x:f>'测算报告'!$I$18/12</x:f>
        <x:v>15</x:v>
      </x:c>
      <x:c r="F15" s="43" t="n">
        <x:f>'测算报告'!$I$18/12</x:f>
        <x:v>15</x:v>
      </x:c>
      <x:c r="G15" s="43" t="n">
        <x:f>'测算报告'!$I$18/12</x:f>
        <x:v>15</x:v>
      </x:c>
      <x:c r="H15" s="43" t="n">
        <x:f>'测算报告'!$I$18/12</x:f>
        <x:v>15</x:v>
      </x:c>
      <x:c r="I15" s="43" t="n">
        <x:f>'测算报告'!$I$18/12</x:f>
        <x:v>15</x:v>
      </x:c>
      <x:c r="J15" s="43" t="n">
        <x:f>'测算报告'!$I$18/12</x:f>
        <x:v>15</x:v>
      </x:c>
      <x:c r="K15" s="43" t="n">
        <x:f>'测算报告'!$I$18/12</x:f>
        <x:v>15</x:v>
      </x:c>
      <x:c r="L15" s="43" t="n">
        <x:f>'测算报告'!$I$18/12</x:f>
        <x:v>15</x:v>
      </x:c>
      <x:c r="M15" s="43" t="n">
        <x:f>'测算报告'!$I$18/12</x:f>
        <x:v>15</x:v>
      </x:c>
      <x:c r="N15" s="43" t="n">
        <x:f>SUM(B15:M15)</x:f>
        <x:v>180</x:v>
      </x:c>
    </x:row>
    <x:row r="16">
      <x:c r="A16" s="54" t="str">
        <x:v>利润</x:v>
      </x:c>
      <x:c r="B16" s="55" t="n">
        <x:f>B5-B9</x:f>
        <x:v>54.43396226415094</x:v>
      </x:c>
      <x:c r="C16" s="55" t="n">
        <x:f>C5-C9</x:f>
        <x:v>54.43396226415094</x:v>
      </x:c>
      <x:c r="D16" s="55" t="n">
        <x:f>D5-D9</x:f>
        <x:v>54.43396226415094</x:v>
      </x:c>
      <x:c r="E16" s="55" t="n">
        <x:f>E5-E9</x:f>
        <x:v>54.43396226415094</x:v>
      </x:c>
      <x:c r="F16" s="55" t="n">
        <x:f>F5-F9</x:f>
        <x:v>54.43396226415094</x:v>
      </x:c>
      <x:c r="G16" s="55" t="n">
        <x:f>G5-G9</x:f>
        <x:v>54.43396226415094</x:v>
      </x:c>
      <x:c r="H16" s="55" t="n">
        <x:f>H5-H9</x:f>
        <x:v>54.43396226415094</x:v>
      </x:c>
      <x:c r="I16" s="55" t="n">
        <x:f>I5-I9</x:f>
        <x:v>54.43396226415094</x:v>
      </x:c>
      <x:c r="J16" s="55" t="n">
        <x:f>J5-J9</x:f>
        <x:v>54.43396226415094</x:v>
      </x:c>
      <x:c r="K16" s="55" t="n">
        <x:f>K5-K9</x:f>
        <x:v>54.43396226415094</x:v>
      </x:c>
      <x:c r="L16" s="55" t="n">
        <x:f>L5-L9</x:f>
        <x:v>54.43396226415094</x:v>
      </x:c>
      <x:c r="M16" s="55" t="n">
        <x:f>M5-M9</x:f>
        <x:v>54.43396226415094</x:v>
      </x:c>
      <x:c r="N16" s="55" t="n">
        <x:f>SUM(B16:M16)</x:f>
        <x:v>653.2075471698113</x:v>
      </x:c>
    </x:row>
    <x:row r="17">
      <x:c r="A17" s="57" t="str">
        <x:v>利润率</x:v>
      </x:c>
      <x:c r="B17" s="58" t="n">
        <x:f>IF(B5=0,0,B16/B5)</x:f>
        <x:v>0.48083333333333333</x:v>
      </x:c>
      <x:c r="C17" s="58" t="n">
        <x:f>IF(C5=0,0,C16/C5)</x:f>
        <x:v>0.48083333333333333</x:v>
      </x:c>
      <x:c r="D17" s="58" t="n">
        <x:f>IF(D5=0,0,D16/D5)</x:f>
        <x:v>0.48083333333333333</x:v>
      </x:c>
      <x:c r="E17" s="58" t="n">
        <x:f>IF(E5=0,0,E16/E5)</x:f>
        <x:v>0.48083333333333333</x:v>
      </x:c>
      <x:c r="F17" s="58" t="n">
        <x:f>IF(F5=0,0,F16/F5)</x:f>
        <x:v>0.48083333333333333</x:v>
      </x:c>
      <x:c r="G17" s="58" t="n">
        <x:f>IF(G5=0,0,G16/G5)</x:f>
        <x:v>0.48083333333333333</x:v>
      </x:c>
      <x:c r="H17" s="58" t="n">
        <x:f>IF(H5=0,0,H16/H5)</x:f>
        <x:v>0.48083333333333333</x:v>
      </x:c>
      <x:c r="I17" s="58" t="n">
        <x:f>IF(I5=0,0,I16/I5)</x:f>
        <x:v>0.48083333333333333</x:v>
      </x:c>
      <x:c r="J17" s="58" t="n">
        <x:f>IF(J5=0,0,J16/J5)</x:f>
        <x:v>0.48083333333333333</x:v>
      </x:c>
      <x:c r="K17" s="58" t="n">
        <x:f>IF(K5=0,0,K16/K5)</x:f>
        <x:v>0.48083333333333333</x:v>
      </x:c>
      <x:c r="L17" s="58" t="n">
        <x:f>IF(L5=0,0,L16/L5)</x:f>
        <x:v>0.48083333333333333</x:v>
      </x:c>
      <x:c r="M17" s="58" t="n">
        <x:f>IF(M5=0,0,M16/M5)</x:f>
        <x:v>0.48083333333333333</x:v>
      </x:c>
      <x:c r="N17" s="58" t="n">
        <x:f>IF(N5=0,0,N16/N5)</x:f>
        <x:v>0.4808333333333334</x:v>
      </x:c>
    </x:row>
    <x:row r="18">
      <x:c r="A18" s="99" t="str">
        <x:v>用户数</x:v>
      </x:c>
      <x:c r="B18" s="100" t="n">
        <x:f>'测算报告'!$E$10</x:f>
        <x:v>50000</x:v>
      </x:c>
      <x:c r="C18" s="100" t="n">
        <x:f>'测算报告'!$E$10</x:f>
        <x:v>50000</x:v>
      </x:c>
      <x:c r="D18" s="100" t="n">
        <x:f>'测算报告'!$E$10</x:f>
        <x:v>50000</x:v>
      </x:c>
      <x:c r="E18" s="100" t="n">
        <x:f>'测算报告'!$E$10</x:f>
        <x:v>50000</x:v>
      </x:c>
      <x:c r="F18" s="100" t="n">
        <x:f>'测算报告'!$E$10</x:f>
        <x:v>50000</x:v>
      </x:c>
      <x:c r="G18" s="100" t="n">
        <x:f>'测算报告'!$E$10</x:f>
        <x:v>50000</x:v>
      </x:c>
      <x:c r="H18" s="100" t="n">
        <x:f>'测算报告'!$E$10</x:f>
        <x:v>50000</x:v>
      </x:c>
      <x:c r="I18" s="100" t="n">
        <x:f>'测算报告'!$E$10</x:f>
        <x:v>50000</x:v>
      </x:c>
      <x:c r="J18" s="100" t="n">
        <x:f>'测算报告'!$E$10</x:f>
        <x:v>50000</x:v>
      </x:c>
      <x:c r="K18" s="100" t="n">
        <x:f>'测算报告'!$E$10</x:f>
        <x:v>50000</x:v>
      </x:c>
      <x:c r="L18" s="100" t="n">
        <x:f>'测算报告'!$E$10</x:f>
        <x:v>50000</x:v>
      </x:c>
      <x:c r="M18" s="100" t="n">
        <x:f>'测算报告'!$E$10</x:f>
        <x:v>50000</x:v>
      </x:c>
      <x:c r="N18" s="100" t="n">
        <x:f>SUM(B18:M18)</x:f>
        <x:v>600000</x:v>
      </x:c>
    </x:row>
  </x:sheetData>
  <x:mergeCells>
    <x:mergeCell ref="A1:N1"/>
    <x:mergeCell ref="A2:N2"/>
  </x:mergeCells>
  <x:pageMargins left="0.7" right="0.7" top="0.75" bottom="0.75" header="0.3" footer="0.3"/>
</x:worksheet>
</file>