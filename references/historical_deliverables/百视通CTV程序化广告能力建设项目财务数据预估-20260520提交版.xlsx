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项目预算表" sheetId="6" r:id="rId1"/>
    <sheet name="月度资金计划" sheetId="10" r:id="rId2"/>
    <sheet name="年度运营成本测算明细" sheetId="2" r:id="rId3"/>
    <sheet name="第一年" sheetId="7" state="hidden" r:id="rId4"/>
    <sheet name="第二年" sheetId="8" state="hidden" r:id="rId5"/>
    <sheet name="第三年" sheetId="9" state="hidden" r:id="rId6"/>
    <sheet name="分年度利润预测表" sheetId="3" state="hidden" r:id="rId7"/>
    <sheet name="核心财务指标汇总表" sheetId="4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<sst xmlns="http://schemas.openxmlformats.org/spreadsheetml/2006/main" count="436" uniqueCount="231">
  <si>
    <t>关键指标</t>
  </si>
  <si>
    <t>三年合计（万元）</t>
  </si>
  <si>
    <t>第1年(万元)</t>
  </si>
  <si>
    <t>第2年(万元)</t>
  </si>
  <si>
    <t>第3年(万元)</t>
  </si>
  <si>
    <t>合计</t>
  </si>
  <si>
    <t>POC前段</t>
  </si>
  <si>
    <t>POC后段</t>
  </si>
  <si>
    <t>平台交易总额</t>
  </si>
  <si>
    <t>净收入</t>
  </si>
  <si>
    <t>营业利润</t>
  </si>
  <si>
    <t>毛利率</t>
  </si>
  <si>
    <t>净利率</t>
  </si>
  <si>
    <t>关键假设</t>
  </si>
  <si>
    <t>第1年</t>
  </si>
  <si>
    <t>第2年</t>
  </si>
  <si>
    <t>第3年</t>
  </si>
  <si>
    <t>第4年</t>
  </si>
  <si>
    <t>收入仅考虑平台交易佣金，按广告主GMV计收；对外归因分析等增值技术服务暂未考虑</t>
  </si>
  <si>
    <t>每个月收取广告主充值款，月末支付流量方费用；目前项目测算仅考虑moloco合作分账模式</t>
  </si>
  <si>
    <t>平均日均广告请求次数（万次）</t>
  </si>
  <si>
    <t>预计第四年用户规模较第三年扩张1倍</t>
  </si>
  <si>
    <t>黄金时段时长（小时）</t>
  </si>
  <si>
    <t>早8-晚10，每15分钟一次，第三年提升频次</t>
  </si>
  <si>
    <t>广告间隔时长（分钟）</t>
  </si>
  <si>
    <t>日均活跃用户数（万户）</t>
  </si>
  <si>
    <t>日均曝光次数（次）</t>
  </si>
  <si>
    <t>广告填充率</t>
  </si>
  <si>
    <t>CPM单价（元）</t>
  </si>
  <si>
    <t>平台交易佣金比例（占总流水）</t>
  </si>
  <si>
    <t>技术提供方分账比</t>
  </si>
  <si>
    <t>市场推广费收入占比</t>
  </si>
  <si>
    <t>团队规模（人）</t>
  </si>
  <si>
    <t>其中：55万/年含社保薪酬（人）</t>
  </si>
  <si>
    <t xml:space="preserve">          40万/年含社保薪酬（人）</t>
  </si>
  <si>
    <t>损益项目（不含税）</t>
  </si>
  <si>
    <t>第四年(万元)</t>
  </si>
  <si>
    <t>全年收入流水(含税)</t>
  </si>
  <si>
    <t>净收入（不含税）</t>
  </si>
  <si>
    <t>总成本费用</t>
  </si>
  <si>
    <t>营业成本</t>
  </si>
  <si>
    <t>1. 广告位采购成本</t>
  </si>
  <si>
    <t>2. 技术成本</t>
  </si>
  <si>
    <t>其中：技术设备类成本</t>
  </si>
  <si>
    <t xml:space="preserve">          技术人员成本</t>
  </si>
  <si>
    <t>3. 技术平台合作分账(净收入30%)</t>
  </si>
  <si>
    <t>销售费用</t>
  </si>
  <si>
    <t>1. 商务合作与其他运营成本</t>
  </si>
  <si>
    <t>2. 商务人员成本</t>
  </si>
  <si>
    <t>管理费用</t>
  </si>
  <si>
    <t>1. 办公运营成本</t>
  </si>
  <si>
    <t>2. 其他管理人员成本</t>
  </si>
  <si>
    <t>税金及附加</t>
  </si>
  <si>
    <t>所得税</t>
  </si>
  <si>
    <t>净利润</t>
  </si>
  <si>
    <t>现金流（含税）</t>
  </si>
  <si>
    <t>现金流入合计</t>
  </si>
  <si>
    <t>1. 程序化广告收入</t>
  </si>
  <si>
    <t>2. 创新项目资金</t>
  </si>
  <si>
    <t>现金流出合计</t>
  </si>
  <si>
    <t>3. 人员薪酬与福利成本</t>
  </si>
  <si>
    <t>4. 商务合作与其他运营成本</t>
  </si>
  <si>
    <t>5. 办公运营成本</t>
  </si>
  <si>
    <t>6. 流量平台分账</t>
  </si>
  <si>
    <t>7. 其他税费</t>
  </si>
  <si>
    <t>当年净现金流发生额</t>
  </si>
  <si>
    <t>累计净现金流余额</t>
  </si>
  <si>
    <t>团队结构</t>
  </si>
  <si>
    <t>第1年(人次)</t>
  </si>
  <si>
    <t>第2年(人次)</t>
  </si>
  <si>
    <t>第3年(人次)</t>
  </si>
  <si>
    <t>第四年</t>
  </si>
  <si>
    <t>1. 管理团队（项目、技术&amp;财务负责人）</t>
  </si>
  <si>
    <t>2. 技术团队（DSP/SSP开发、运维等）</t>
  </si>
  <si>
    <t>3. 商务与运营团队</t>
  </si>
  <si>
    <t>4. 业务支撑团队（财务、法务、行政等）</t>
  </si>
  <si>
    <t>与美国行业标杆企业（AppLovin）对比如下：</t>
  </si>
  <si>
    <t>核心指标</t>
  </si>
  <si>
    <t>启动期</t>
  </si>
  <si>
    <t>扩张期</t>
  </si>
  <si>
    <t>盈利期</t>
  </si>
  <si>
    <t>爆发期</t>
  </si>
  <si>
    <t>CTV程序化广告项目（第一年）</t>
  </si>
  <si>
    <t>AppLovin（2021-2022年）</t>
  </si>
  <si>
    <t>CTV程序化广告项目（第二年）</t>
  </si>
  <si>
    <t>AppLovin（2023年）</t>
  </si>
  <si>
    <t>CTV程序化广告项目（第三年）</t>
  </si>
  <si>
    <t>AppLovin（2024年）</t>
  </si>
  <si>
    <t>CTV程序化广告项目（第四年预测）</t>
  </si>
  <si>
    <t>AppLovin（2025年）</t>
  </si>
  <si>
    <t>销售费用率</t>
  </si>
  <si>
    <t>备注：</t>
  </si>
  <si>
    <t>1、AppLovin年报中未单独披露CTV程序化广告业务对应的收入及成本，表格中数据为其整体业务情况。24及25年财务中有披露收入增长点系CTV业务扩张。</t>
  </si>
  <si>
    <t>2、AppLovin毛利率呈爆发式提升趋势，核心盈利能力得益于AI广告技术带来的成本优化和定价能力提升；随着创新项目的规模化发展及与Moloco的深度绑定，第四年开始，不断迭代的算法技术将持续优化成本并提高定价能力，毛利率预期提升到60%，净利率提升到26%。</t>
  </si>
  <si>
    <t>3、行业趋势：随着收入规模扩大，销售费用率逐渐降低；创新项目第四年开始将进入爆发增长期，销售投入效率提高，算法技术将大幅降低获客营销成本，预期销售费用率将降低到12%。</t>
  </si>
  <si>
    <t>AppLovin年报数据如下：</t>
  </si>
  <si>
    <t>财务指标（亿美元）</t>
  </si>
  <si>
    <t>2021年</t>
  </si>
  <si>
    <t>2022年</t>
  </si>
  <si>
    <t>2023年</t>
  </si>
  <si>
    <t>2024年</t>
  </si>
  <si>
    <t>2025年</t>
  </si>
  <si>
    <t>营业总收入（亿美元）</t>
  </si>
  <si>
    <t>广告收入增长率</t>
  </si>
  <si>
    <t>营业成本（亿美元）</t>
  </si>
  <si>
    <t>毛利（亿美元）</t>
  </si>
  <si>
    <t>销售费用(SG&amp;A)（亿美元）</t>
  </si>
  <si>
    <t>净利润（亿美元）</t>
  </si>
  <si>
    <t>基本每股收益(美元)</t>
  </si>
  <si>
    <t>资产合计</t>
  </si>
  <si>
    <t>负债合计</t>
  </si>
  <si>
    <t>经营活动现金流净额</t>
  </si>
  <si>
    <t>第一年</t>
  </si>
  <si>
    <t>第二年</t>
  </si>
  <si>
    <t>第三年</t>
  </si>
  <si>
    <t>三年加总</t>
  </si>
  <si>
    <t>现金流入（万元）</t>
  </si>
  <si>
    <t>1. 自有业务流量程序化广告收入流入</t>
  </si>
  <si>
    <t>2. 创新项目资金流入</t>
  </si>
  <si>
    <t>现金流出（万元）</t>
  </si>
  <si>
    <t>一、人力成本流出</t>
  </si>
  <si>
    <t>1. 管理团队（项目负责人、技术负责人、财务负责人）</t>
  </si>
  <si>
    <t>4. 业务支撑团队（财务、法务、合规等）</t>
  </si>
  <si>
    <t>二、技术成本流出</t>
  </si>
  <si>
    <t>1. 云服务器、数据库、缓存、日志服务、负载均衡、数据存储等</t>
  </si>
  <si>
    <t>2. 数据传输</t>
  </si>
  <si>
    <t>三、广告位成本流出</t>
  </si>
  <si>
    <t>IPTV/OTT业务广告位采购成本</t>
  </si>
  <si>
    <t>四、商务合作与其他运营成本流出</t>
  </si>
  <si>
    <t>1. 渠道合作与分成</t>
  </si>
  <si>
    <t>2. 市场推广与商务拓展</t>
  </si>
  <si>
    <t>五、办公运营成本流出</t>
  </si>
  <si>
    <t>中介机构费</t>
  </si>
  <si>
    <t>场地费（含水电）</t>
  </si>
  <si>
    <t>招聘费</t>
  </si>
  <si>
    <t>其他管理费用</t>
  </si>
  <si>
    <t>六、平台分账现金流出</t>
  </si>
  <si>
    <t>七、其他税费</t>
  </si>
  <si>
    <t>其中：增值税</t>
  </si>
  <si>
    <t xml:space="preserve">           附加税及其他</t>
  </si>
  <si>
    <t>净现金流</t>
  </si>
  <si>
    <t>累计现金流</t>
  </si>
  <si>
    <t>后续三个月固定成本</t>
  </si>
  <si>
    <t>是否存在资金需求</t>
  </si>
  <si>
    <t>日均广告请求次数（万次）</t>
  </si>
  <si>
    <t>平台交易佣金比例</t>
  </si>
  <si>
    <t>市场推广费占收入比例</t>
  </si>
  <si>
    <t>分账成本占净收入比例</t>
  </si>
  <si>
    <t>每月固定成本</t>
  </si>
  <si>
    <t>百视通CTV程序化广告能力建设项目年度运营成本预算表（3年预测）</t>
  </si>
  <si>
    <t>成本类别</t>
  </si>
  <si>
    <t>三年合计(万元)</t>
  </si>
  <si>
    <t>测算说明</t>
  </si>
  <si>
    <t>一、人力成本</t>
  </si>
  <si>
    <t>55万元/人年；第一年2人，第二年3人，第三年5人，人员前置3个月到岗</t>
  </si>
  <si>
    <t>55万元/人年，第一年5人，第二年5人，第三年10人，人员前置3个月到岗</t>
  </si>
  <si>
    <t>55万元/人年；第一年2人，第二年5人，第三年12人，人员前置3个月到岗</t>
  </si>
  <si>
    <t>40万元/人年；第一年1人，第二年2人，第三年3人，人员前置3个月到岗</t>
  </si>
  <si>
    <t>人力成本小计</t>
  </si>
  <si>
    <t>二、技术成本</t>
  </si>
  <si>
    <t>程序化广告平台DSP、SSP等系统服务端部署、运营</t>
  </si>
  <si>
    <t>终端广告请求数预估：第一年280万次/天，第二年760万次/天，第三年2800万次/天；平均每次请求（1张图片+1段视频）数据传输量7MB（其中视频6MB，图片1MB），流量单价0.04元/GB</t>
  </si>
  <si>
    <t>技术成本小计</t>
  </si>
  <si>
    <t>三、广告位成本</t>
  </si>
  <si>
    <t>湖北移动、安徽移动用户贴片广告位库存数量，每天250-300个CPM，CPM单价10元折算；或者向第三方采购</t>
  </si>
  <si>
    <t>广告位成本小计</t>
  </si>
  <si>
    <t>四、商务合作与其他运营成本</t>
  </si>
  <si>
    <t>按全年净收入30%向Moloco分账</t>
  </si>
  <si>
    <t>第二年开始按全年净收入5%测算</t>
  </si>
  <si>
    <t>商务合作与其他运营成本小计</t>
  </si>
  <si>
    <t>五、办公运营成本</t>
  </si>
  <si>
    <t>合资公司日常评估费、审计费</t>
  </si>
  <si>
    <t>按智媒城租赁合同，日租金3.35元/天/平方米，物业费15元/月/平方米测算；7人租用50平，15人租用100平，30人租赁250平，100人租赁1000平，前置三个月租用</t>
  </si>
  <si>
    <t>30%技术与商务需通过猎头外聘，按月薪50%支付猎头费，招聘费前置3个月</t>
  </si>
  <si>
    <t>参考百视通25年人均管理费1万*1.5</t>
  </si>
  <si>
    <t>办公运营成本小计</t>
  </si>
  <si>
    <t>六、其他税费</t>
  </si>
  <si>
    <t>年度运营总成本合计</t>
  </si>
  <si>
    <t>全年流水（盈亏平衡点）</t>
  </si>
  <si>
    <t>全年净收入（盈亏平衡点）</t>
  </si>
  <si>
    <t>目前商业计划书全年流水</t>
  </si>
  <si>
    <t>日均广告请求次数(万次)</t>
  </si>
  <si>
    <t>假设流水</t>
  </si>
  <si>
    <t>55万元/人年；第一年2人</t>
  </si>
  <si>
    <t>55万元/人年，POC前段3人，POC后段5人，人员前置3个月到岗</t>
  </si>
  <si>
    <t>55万元/人年；POC前段1人，POC后段2人，人员前置3个月到岗</t>
  </si>
  <si>
    <t>40万元/人年；第一年1人</t>
  </si>
  <si>
    <t>终端广告请求数预估：第一年280万次/天，平均每次请求（1张图片+1段视频）数据传输量7MB（其中视频6MB，图片1MB），流量单价0.04元/GB</t>
  </si>
  <si>
    <t>55万元/人年；第二年3人，人员前置3个月到岗</t>
  </si>
  <si>
    <t>55万元/人年，第二年5人，人员前置3个月到岗</t>
  </si>
  <si>
    <t>55万元/人年；第二年5人，人员前置3个月到岗</t>
  </si>
  <si>
    <t>40万元/人年；第二年2人，人员前置3个月到岗</t>
  </si>
  <si>
    <t>终端广告请求数预估：第二年760万次/天；平均每次请求（1张图片+1段视频）数据传输量7MB（其中视频6MB，图片1MB），流量单价0.04元/GB</t>
  </si>
  <si>
    <t>55万元/人年；第三年5人，人员前置3个月到岗，较第二年涨薪8%</t>
  </si>
  <si>
    <t>55万元/人年，第三年10人，人员前置3个月到岗，较第二年涨薪8%</t>
  </si>
  <si>
    <t>55万元/人年；第三年12人，人员前置3个月到岗，较第二年涨薪8%</t>
  </si>
  <si>
    <t>40万元/人年；第三年3人，人员前置3个月到岗，较第二年涨薪8%</t>
  </si>
  <si>
    <t>终端广告请求数预估：第三年2800万次/天；平均每次请求（1张图片+1段视频）数据传输量7MB（其中视频6MB，图片1MB），流量单价0.04元/GB</t>
  </si>
  <si>
    <t>百视通CTV程序化广告能力建设项目分年度利润预测表（损益表）</t>
  </si>
  <si>
    <t>项目</t>
  </si>
  <si>
    <t>一、营业收入</t>
  </si>
  <si>
    <t>1. 自有业务流量程序化广告收入</t>
  </si>
  <si>
    <t>2. 上级单位创新项目扶持资金</t>
  </si>
  <si>
    <t>营业收入合计</t>
  </si>
  <si>
    <t>减：营业成本</t>
  </si>
  <si>
    <t>1. 流量采购与测试成本</t>
  </si>
  <si>
    <t>2. 系统部署与技术服务成本</t>
  </si>
  <si>
    <t>5. 办公室租赁成本</t>
  </si>
  <si>
    <t>营业成本合计</t>
  </si>
  <si>
    <t>二、毛利润</t>
  </si>
  <si>
    <t>减：期间费用</t>
  </si>
  <si>
    <t>1. 财务费用</t>
  </si>
  <si>
    <t>2. 管理费用</t>
  </si>
  <si>
    <t>3. 销售费用</t>
  </si>
  <si>
    <t>期间费用合计</t>
  </si>
  <si>
    <t>三、利润总额</t>
  </si>
  <si>
    <t>减：所得税费用</t>
  </si>
  <si>
    <t>四、净利润</t>
  </si>
  <si>
    <t>累计净利润</t>
  </si>
  <si>
    <t>百视通CTV程序化广告能力建设项目核心财务指标汇总表</t>
  </si>
  <si>
    <t>指标名称</t>
  </si>
  <si>
    <t>核心经营指标</t>
  </si>
  <si>
    <t>营业收入</t>
  </si>
  <si>
    <t>营业收入同比增长率</t>
  </si>
  <si>
    <t>-</t>
  </si>
  <si>
    <t>毛利润</t>
  </si>
  <si>
    <t>成本结构指标</t>
  </si>
  <si>
    <t>人力成本占营收比</t>
  </si>
  <si>
    <t>技术成本占营收比</t>
  </si>
  <si>
    <t>流量成本占营收比</t>
  </si>
  <si>
    <t>垫付准备金占营收比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</si>
</sst>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  <numFmt numFmtId="177" formatCode="_ * #,##0_ ;_ * \-#,##0_ ;_ * &quot;-&quot;??_ ;_ @_ "/>
    <numFmt numFmtId="178" formatCode="#,##0.0"/>
  </numFmts>
  <fonts count="31">
    <font>
      <sz val="10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sz val="10"/>
      <color rgb="FF000000"/>
      <name val="等线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b/>
      <sz val="12"/>
      <color rgb="FFFFFFFF"/>
      <name val="微软雅黑"/>
      <charset val="134"/>
    </font>
    <font>
      <b/>
      <sz val="10"/>
      <color theme="1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2"/>
      <name val="微软雅黑"/>
      <charset val="134"/>
    </font>
    <font>
      <sz val="10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9" borderId="12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10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7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0" xfId="0" applyFont="1" applyAlignment="1"/>
    <xf numFmtId="0" fontId="3" fillId="3" borderId="1" xfId="0" applyFont="1" applyFill="1" applyBorder="1" applyAlignment="1">
      <alignment horizontal="left" vertical="center"/>
    </xf>
    <xf numFmtId="176" fontId="3" fillId="3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left" vertical="center"/>
    </xf>
    <xf numFmtId="10" fontId="4" fillId="0" borderId="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4" fontId="4" fillId="4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3" xfId="0" applyFont="1" applyBorder="1" applyAlignment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/>
    <xf numFmtId="0" fontId="6" fillId="2" borderId="4" xfId="0" applyFont="1" applyFill="1" applyBorder="1" applyAlignment="1">
      <alignment horizontal="center" vertical="center"/>
    </xf>
    <xf numFmtId="176" fontId="4" fillId="0" borderId="4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177" fontId="4" fillId="0" borderId="1" xfId="0" applyNumberFormat="1" applyFont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177" fontId="4" fillId="0" borderId="4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177" fontId="4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4" fillId="0" borderId="2" xfId="0" applyFont="1" applyBorder="1" applyAlignment="1"/>
    <xf numFmtId="0" fontId="6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left" vertical="center"/>
    </xf>
    <xf numFmtId="177" fontId="4" fillId="0" borderId="0" xfId="0" applyNumberFormat="1" applyFont="1" applyFill="1" applyAlignment="1">
      <alignment horizontal="right" vertical="center"/>
    </xf>
    <xf numFmtId="0" fontId="7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57" fontId="0" fillId="0" borderId="0" xfId="0" applyNumberFormat="1" applyFill="1" applyAlignment="1">
      <alignment vertical="center"/>
    </xf>
    <xf numFmtId="57" fontId="0" fillId="0" borderId="0" xfId="0" applyNumberFormat="1" applyAlignment="1">
      <alignment vertical="center"/>
    </xf>
    <xf numFmtId="43" fontId="7" fillId="0" borderId="0" xfId="0" applyNumberFormat="1" applyFont="1" applyAlignment="1">
      <alignment vertical="center"/>
    </xf>
    <xf numFmtId="43" fontId="0" fillId="0" borderId="0" xfId="0" applyNumberFormat="1" applyAlignment="1">
      <alignment vertical="center"/>
    </xf>
    <xf numFmtId="43" fontId="0" fillId="0" borderId="0" xfId="0" applyNumberFormat="1" applyFont="1" applyAlignment="1">
      <alignment vertical="center"/>
    </xf>
    <xf numFmtId="10" fontId="0" fillId="0" borderId="0" xfId="3" applyNumberFormat="1" applyFont="1" applyAlignment="1">
      <alignment vertical="center"/>
    </xf>
    <xf numFmtId="0" fontId="8" fillId="0" borderId="0" xfId="0" applyFont="1" applyAlignment="1">
      <alignment vertical="center"/>
    </xf>
    <xf numFmtId="10" fontId="8" fillId="0" borderId="0" xfId="3" applyNumberFormat="1" applyFont="1" applyAlignment="1">
      <alignment vertical="center"/>
    </xf>
    <xf numFmtId="9" fontId="0" fillId="0" borderId="0" xfId="3" applyFont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9" fontId="4" fillId="0" borderId="1" xfId="3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9" fontId="4" fillId="0" borderId="1" xfId="3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0" fontId="10" fillId="0" borderId="7" xfId="0" applyFont="1" applyBorder="1" applyAlignment="1">
      <alignment vertical="center" wrapText="1"/>
    </xf>
    <xf numFmtId="9" fontId="10" fillId="0" borderId="7" xfId="3" applyFont="1" applyBorder="1" applyAlignment="1">
      <alignment vertical="center"/>
    </xf>
    <xf numFmtId="9" fontId="0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92D050"/>
  </sheetPr>
  <dimension ref="A1:L109"/>
  <sheetViews>
    <sheetView tabSelected="1" zoomScale="120" zoomScaleNormal="120" workbookViewId="0">
      <selection activeCell="K26" sqref="K26"/>
    </sheetView>
  </sheetViews>
  <sheetFormatPr defaultColWidth="9.14285714285714" defaultRowHeight="12.75"/>
  <cols>
    <col min="1" max="1" width="37.6190476190476" customWidth="1"/>
    <col min="2" max="2" width="23.9047619047619" customWidth="1"/>
    <col min="3" max="3" width="17.4285714285714" customWidth="1"/>
    <col min="4" max="4" width="18.5714285714286" customWidth="1"/>
    <col min="5" max="5" width="17.8571428571429" customWidth="1"/>
    <col min="6" max="6" width="19.8571428571429" customWidth="1"/>
    <col min="7" max="7" width="18.4285714285714" customWidth="1"/>
    <col min="8" max="9" width="12.8571428571429" hidden="1" customWidth="1"/>
    <col min="10" max="10" width="17.2857142857143" customWidth="1"/>
    <col min="11" max="11" width="14.7142857142857" customWidth="1"/>
    <col min="12" max="12" width="9.14285714285714" customWidth="1"/>
  </cols>
  <sheetData>
    <row r="1" ht="21" spans="1:10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 t="s">
        <v>4</v>
      </c>
    </row>
    <row r="2" ht="21" spans="1:10">
      <c r="A2" s="1"/>
      <c r="B2" s="1"/>
      <c r="C2" s="1" t="s">
        <v>5</v>
      </c>
      <c r="D2" s="1" t="s">
        <v>6</v>
      </c>
      <c r="E2" s="1" t="s">
        <v>7</v>
      </c>
      <c r="F2" s="1"/>
      <c r="G2" s="1"/>
    </row>
    <row r="3" ht="17.25" spans="1:10">
      <c r="A3" s="7" t="s">
        <v>8</v>
      </c>
      <c r="B3" s="49">
        <f>SUM(C3,F3:G3)</f>
        <v>26498.4</v>
      </c>
      <c r="C3" s="49">
        <f>SUM(D3:E3)</f>
        <v>1002</v>
      </c>
      <c r="D3" s="49">
        <f>D31</f>
        <v>0</v>
      </c>
      <c r="E3" s="49">
        <f>E31</f>
        <v>1002</v>
      </c>
      <c r="F3" s="49">
        <f>F31</f>
        <v>4158</v>
      </c>
      <c r="G3" s="49">
        <f>G31</f>
        <v>21338.4</v>
      </c>
    </row>
    <row r="4" ht="17.25" spans="1:10">
      <c r="A4" s="7" t="s">
        <v>9</v>
      </c>
      <c r="B4" s="49">
        <f>SUM(C4,F4:G4)</f>
        <v>4999.69811320755</v>
      </c>
      <c r="C4" s="49">
        <f>SUM(D4:E4)</f>
        <v>189.056603773585</v>
      </c>
      <c r="D4" s="49">
        <f>D32</f>
        <v>0</v>
      </c>
      <c r="E4" s="49">
        <f>E32</f>
        <v>189.056603773585</v>
      </c>
      <c r="F4" s="49">
        <f>F32</f>
        <v>784.528301886792</v>
      </c>
      <c r="G4" s="49">
        <f>G32</f>
        <v>4026.11320754717</v>
      </c>
    </row>
    <row r="5" ht="17.25" spans="1:10">
      <c r="A5" s="7" t="s">
        <v>10</v>
      </c>
      <c r="B5" s="49">
        <f>SUM(C5,F5:G5)</f>
        <v>-1149.84506958824</v>
      </c>
      <c r="C5" s="49">
        <f>C34</f>
        <v>-647.724852351999</v>
      </c>
      <c r="D5" s="49">
        <f>D34</f>
        <v>-251.071545559979</v>
      </c>
      <c r="E5" s="49">
        <f>E34</f>
        <v>-396.65330679202</v>
      </c>
      <c r="F5" s="49">
        <f>F34</f>
        <v>-687.399784592998</v>
      </c>
      <c r="G5" s="49">
        <f>G34</f>
        <v>185.279567356759</v>
      </c>
    </row>
    <row r="6" ht="17.25" spans="1:10">
      <c r="A6" s="7" t="s">
        <v>11</v>
      </c>
      <c r="B6" s="50">
        <f>(B32-B35)/B32</f>
        <v>0.310519691754974</v>
      </c>
      <c r="C6" s="50">
        <f>(C32-C35)/C32</f>
        <v>-1.54301397205589</v>
      </c>
      <c r="D6" s="50"/>
      <c r="E6" s="50">
        <f>(E32-E35)/E32</f>
        <v>-0.608008982035927</v>
      </c>
      <c r="F6" s="50">
        <f>(F32-F35)/F32</f>
        <v>0.0426527176527177</v>
      </c>
      <c r="G6" s="50">
        <f>(G32-G35)/G32</f>
        <v>0.449753730364039</v>
      </c>
    </row>
    <row r="7" ht="17.25" spans="1:10">
      <c r="A7" s="7" t="s">
        <v>12</v>
      </c>
      <c r="B7" s="50">
        <f>B34/B32</f>
        <v>-0.229982899677627</v>
      </c>
      <c r="C7" s="50">
        <f>C34/C32</f>
        <v>-3.42608953838882</v>
      </c>
      <c r="D7" s="50"/>
      <c r="E7" s="50">
        <f>E34/E32</f>
        <v>-2.09806639321128</v>
      </c>
      <c r="F7" s="50">
        <f>F34/F32</f>
        <v>-0.876195011626477</v>
      </c>
      <c r="G7" s="50">
        <f>G34/G32</f>
        <v>0.0460194628927579</v>
      </c>
    </row>
    <row r="10" ht="21" spans="1:10">
      <c r="A10" s="51" t="s">
        <v>13</v>
      </c>
      <c r="B10" s="52"/>
      <c r="C10" s="1" t="s">
        <v>14</v>
      </c>
      <c r="D10" s="1"/>
      <c r="E10" s="1"/>
      <c r="F10" s="1" t="s">
        <v>15</v>
      </c>
      <c r="G10" s="1" t="s">
        <v>16</v>
      </c>
      <c r="H10" s="1" t="s">
        <v>17</v>
      </c>
    </row>
    <row r="11" ht="21" spans="1:10">
      <c r="A11" s="52"/>
      <c r="B11" s="52"/>
      <c r="C11" s="1" t="s">
        <v>5</v>
      </c>
      <c r="D11" s="1" t="s">
        <v>6</v>
      </c>
      <c r="E11" s="1" t="s">
        <v>7</v>
      </c>
      <c r="F11" s="1"/>
      <c r="G11" s="1"/>
      <c r="H11" s="1"/>
    </row>
    <row r="12" ht="17.25" spans="1:10">
      <c r="A12" s="53" t="s">
        <v>18</v>
      </c>
      <c r="B12" s="53"/>
      <c r="C12" s="53"/>
      <c r="D12" s="53"/>
      <c r="E12" s="53"/>
      <c r="F12" s="53"/>
      <c r="G12" s="53"/>
      <c r="H12" s="54"/>
    </row>
    <row r="13" ht="17.25" spans="1:10">
      <c r="A13" s="53" t="s">
        <v>19</v>
      </c>
      <c r="B13" s="53"/>
      <c r="C13" s="53"/>
      <c r="D13" s="53"/>
      <c r="E13" s="53"/>
      <c r="F13" s="53"/>
      <c r="G13" s="53"/>
      <c r="H13" s="55"/>
    </row>
    <row r="14" ht="17.25" spans="1:10">
      <c r="A14" s="7" t="s">
        <v>20</v>
      </c>
      <c r="B14" s="7"/>
      <c r="C14" s="49">
        <f>C31*1.06/(C20*365/1000)</f>
        <v>145.495890410959</v>
      </c>
      <c r="D14" s="49">
        <f>D31*1.06/(D20*365/1000)</f>
        <v>0</v>
      </c>
      <c r="E14" s="49">
        <f>E31*1.06/(E20*365/1000)</f>
        <v>145.495890410959</v>
      </c>
      <c r="F14" s="49">
        <f>F31*1.06/(F20*365/1000)</f>
        <v>402.509589041096</v>
      </c>
      <c r="G14" s="49">
        <f>G31*1.06/(G20*365/1000)</f>
        <v>1549.22630136986</v>
      </c>
      <c r="H14" s="49">
        <f>H17*H18</f>
        <v>3098.45260273973</v>
      </c>
      <c r="I14" t="s">
        <v>21</v>
      </c>
    </row>
    <row r="15" customFormat="1" ht="17.25" hidden="1" spans="1:10">
      <c r="A15" s="7" t="s">
        <v>22</v>
      </c>
      <c r="B15" s="7"/>
      <c r="C15" s="49">
        <v>14</v>
      </c>
      <c r="D15" s="49">
        <v>14</v>
      </c>
      <c r="E15" s="49">
        <v>14</v>
      </c>
      <c r="F15" s="49">
        <v>14</v>
      </c>
      <c r="G15" s="49">
        <v>14</v>
      </c>
      <c r="H15" s="49"/>
      <c r="J15" t="s">
        <v>23</v>
      </c>
    </row>
    <row r="16" customFormat="1" ht="17.25" hidden="1" spans="1:10">
      <c r="A16" s="7" t="s">
        <v>24</v>
      </c>
      <c r="B16" s="7"/>
      <c r="C16" s="49">
        <v>15</v>
      </c>
      <c r="D16" s="49">
        <v>15</v>
      </c>
      <c r="E16" s="49">
        <v>15</v>
      </c>
      <c r="F16" s="49">
        <v>10</v>
      </c>
      <c r="G16" s="49">
        <v>10</v>
      </c>
      <c r="H16" s="49"/>
    </row>
    <row r="17" ht="17.25" spans="1:9">
      <c r="A17" s="7" t="s">
        <v>25</v>
      </c>
      <c r="B17" s="7"/>
      <c r="C17" s="49">
        <f>C14/C18</f>
        <v>29.0991780821918</v>
      </c>
      <c r="D17" s="49">
        <f>D14/D18</f>
        <v>0</v>
      </c>
      <c r="E17" s="49">
        <f>E14/E18</f>
        <v>29.0991780821918</v>
      </c>
      <c r="F17" s="49">
        <f>F14/F18</f>
        <v>40.2509589041096</v>
      </c>
      <c r="G17" s="49">
        <f>G14/G18</f>
        <v>154.922630136986</v>
      </c>
      <c r="H17" s="49">
        <f>G17*2</f>
        <v>309.845260273973</v>
      </c>
    </row>
    <row r="18" ht="17.25" spans="1:9">
      <c r="A18" s="7" t="s">
        <v>26</v>
      </c>
      <c r="B18" s="7"/>
      <c r="C18" s="49">
        <v>5</v>
      </c>
      <c r="D18" s="49">
        <v>5</v>
      </c>
      <c r="E18" s="49">
        <v>5</v>
      </c>
      <c r="F18" s="49">
        <v>10</v>
      </c>
      <c r="G18" s="49">
        <v>10</v>
      </c>
      <c r="H18" s="49">
        <v>10</v>
      </c>
    </row>
    <row r="19" ht="17.25" spans="1:9">
      <c r="A19" s="7" t="s">
        <v>27</v>
      </c>
      <c r="B19" s="7"/>
      <c r="C19" s="56">
        <v>1</v>
      </c>
      <c r="D19" s="56">
        <v>1</v>
      </c>
      <c r="E19" s="56">
        <v>1</v>
      </c>
      <c r="F19" s="56">
        <v>1</v>
      </c>
      <c r="G19" s="56">
        <v>1</v>
      </c>
      <c r="H19" s="56">
        <v>1</v>
      </c>
    </row>
    <row r="20" ht="17.25" spans="1:9">
      <c r="A20" s="7" t="s">
        <v>28</v>
      </c>
      <c r="B20" s="7"/>
      <c r="C20" s="49">
        <v>20</v>
      </c>
      <c r="D20" s="49">
        <v>20</v>
      </c>
      <c r="E20" s="49">
        <v>20</v>
      </c>
      <c r="F20" s="49">
        <v>30</v>
      </c>
      <c r="G20" s="49">
        <v>40</v>
      </c>
      <c r="H20" s="49">
        <v>50</v>
      </c>
    </row>
    <row r="21" ht="17.25" spans="1:9">
      <c r="A21" s="7" t="s">
        <v>29</v>
      </c>
      <c r="B21" s="7"/>
      <c r="C21" s="50">
        <v>0.2</v>
      </c>
      <c r="D21" s="50">
        <v>0.2</v>
      </c>
      <c r="E21" s="50">
        <v>0.2</v>
      </c>
      <c r="F21" s="56">
        <v>0.2</v>
      </c>
      <c r="G21" s="56">
        <v>0.2</v>
      </c>
      <c r="H21" s="56">
        <v>0.2</v>
      </c>
    </row>
    <row r="22" ht="17.25" spans="1:9">
      <c r="A22" s="7" t="s">
        <v>30</v>
      </c>
      <c r="B22" s="7"/>
      <c r="C22" s="50">
        <v>0.3</v>
      </c>
      <c r="D22" s="50">
        <v>0.3</v>
      </c>
      <c r="E22" s="50">
        <v>0.3</v>
      </c>
      <c r="F22" s="50">
        <v>0.3</v>
      </c>
      <c r="G22" s="50">
        <v>0.3</v>
      </c>
      <c r="H22" s="50">
        <v>0.3</v>
      </c>
    </row>
    <row r="23" ht="17.25" spans="1:9">
      <c r="A23" s="7" t="s">
        <v>31</v>
      </c>
      <c r="B23" s="7"/>
      <c r="C23" s="50">
        <v>0.05</v>
      </c>
      <c r="D23" s="50">
        <v>0</v>
      </c>
      <c r="E23" s="50">
        <v>0</v>
      </c>
      <c r="F23" s="50">
        <v>0.05</v>
      </c>
      <c r="G23" s="50">
        <v>0.05</v>
      </c>
      <c r="H23" s="50">
        <v>0.05</v>
      </c>
    </row>
    <row r="24" ht="17.25" spans="1:9">
      <c r="A24" s="7" t="s">
        <v>32</v>
      </c>
      <c r="B24" s="7"/>
      <c r="C24" s="49">
        <f>C75</f>
        <v>10</v>
      </c>
      <c r="D24" s="49">
        <f>D75</f>
        <v>7</v>
      </c>
      <c r="E24" s="49">
        <f>E75</f>
        <v>10</v>
      </c>
      <c r="F24" s="49">
        <f>F75</f>
        <v>15</v>
      </c>
      <c r="G24" s="49">
        <f>G75</f>
        <v>25</v>
      </c>
      <c r="H24" s="49">
        <f>SUM(H70:H72)</f>
        <v>13</v>
      </c>
    </row>
    <row r="25" ht="17.25" spans="1:9">
      <c r="A25" s="7" t="s">
        <v>33</v>
      </c>
      <c r="B25" s="7"/>
      <c r="C25" s="57">
        <f t="shared" ref="C25:H25" si="0">SUM(C71:C73)</f>
        <v>9</v>
      </c>
      <c r="D25" s="49">
        <f t="shared" si="0"/>
        <v>6</v>
      </c>
      <c r="E25" s="49">
        <f t="shared" si="0"/>
        <v>9</v>
      </c>
      <c r="F25" s="49">
        <f t="shared" si="0"/>
        <v>13</v>
      </c>
      <c r="G25" s="49">
        <f t="shared" si="0"/>
        <v>22</v>
      </c>
      <c r="H25" s="49">
        <f>H73</f>
        <v>20</v>
      </c>
      <c r="I25" s="58" t="str">
        <f>MID(A25,FIND("：",A25)+1,2)</f>
        <v>55</v>
      </c>
    </row>
    <row r="26" ht="17.25" spans="1:9">
      <c r="A26" s="7" t="s">
        <v>34</v>
      </c>
      <c r="B26" s="7"/>
      <c r="C26" s="49">
        <f t="shared" ref="C26:H26" si="1">C74</f>
        <v>1</v>
      </c>
      <c r="D26" s="49">
        <f t="shared" si="1"/>
        <v>1</v>
      </c>
      <c r="E26" s="49">
        <f t="shared" si="1"/>
        <v>1</v>
      </c>
      <c r="F26" s="49">
        <f t="shared" si="1"/>
        <v>2</v>
      </c>
      <c r="G26" s="49">
        <f t="shared" si="1"/>
        <v>3</v>
      </c>
      <c r="H26" s="49">
        <f t="shared" si="1"/>
        <v>4</v>
      </c>
      <c r="I26" s="58" t="str">
        <f>LEFT(A26,FIND("万",A26)-1)</f>
        <v>          40</v>
      </c>
    </row>
    <row r="29" ht="21" spans="1:9">
      <c r="A29" s="1" t="s">
        <v>35</v>
      </c>
      <c r="B29" s="1" t="s">
        <v>1</v>
      </c>
      <c r="C29" s="1" t="s">
        <v>2</v>
      </c>
      <c r="D29" s="1"/>
      <c r="E29" s="1"/>
      <c r="F29" s="1" t="s">
        <v>3</v>
      </c>
      <c r="G29" s="1" t="s">
        <v>4</v>
      </c>
      <c r="H29" s="1" t="s">
        <v>36</v>
      </c>
    </row>
    <row r="30" ht="21" spans="1:9">
      <c r="A30" s="1"/>
      <c r="B30" s="1"/>
      <c r="C30" s="1" t="s">
        <v>5</v>
      </c>
      <c r="D30" s="1" t="s">
        <v>6</v>
      </c>
      <c r="E30" s="1" t="s">
        <v>7</v>
      </c>
      <c r="F30" s="1"/>
      <c r="G30" s="1"/>
      <c r="H30" s="1"/>
    </row>
    <row r="31" ht="18" spans="1:9">
      <c r="A31" s="59" t="s">
        <v>37</v>
      </c>
      <c r="B31" s="60">
        <f>C31+F31+G31</f>
        <v>26498.4</v>
      </c>
      <c r="C31" s="60">
        <f>SUM(D31:E31)</f>
        <v>1002</v>
      </c>
      <c r="D31" s="60">
        <f>SUM(月度资金计划!B4:D4)*1.06</f>
        <v>0</v>
      </c>
      <c r="E31" s="60">
        <f>SUM(月度资金计划!E4:M4)*1.06</f>
        <v>1002</v>
      </c>
      <c r="F31" s="60">
        <f>月度资金计划!AA4*1.06</f>
        <v>4158</v>
      </c>
      <c r="G31" s="60">
        <f>月度资金计划!AN4*1.06</f>
        <v>21338.4</v>
      </c>
      <c r="H31" s="61">
        <f>1780000*5%</f>
        <v>89000</v>
      </c>
    </row>
    <row r="32" ht="18" spans="1:9">
      <c r="A32" s="59" t="s">
        <v>38</v>
      </c>
      <c r="B32" s="60">
        <f>C32+F32+G32</f>
        <v>4999.69811320755</v>
      </c>
      <c r="C32" s="62">
        <f>D32+E32</f>
        <v>189.056603773585</v>
      </c>
      <c r="D32" s="60">
        <f>SUM(月度资金计划!B4:D4)*D21</f>
        <v>0</v>
      </c>
      <c r="E32" s="60">
        <f>SUM(月度资金计划!E4:M4)*E21</f>
        <v>189.056603773585</v>
      </c>
      <c r="F32" s="60">
        <f>月度资金计划!AA4*F21</f>
        <v>784.528301886792</v>
      </c>
      <c r="G32" s="60">
        <f>月度资金计划!AN4*G21</f>
        <v>4026.11320754717</v>
      </c>
      <c r="H32" s="63">
        <f>H31*H21</f>
        <v>17800</v>
      </c>
    </row>
    <row r="33" ht="18" spans="1:9">
      <c r="A33" s="59" t="s">
        <v>39</v>
      </c>
      <c r="B33" s="60">
        <f>SUM(B35,B41,B44,B47)</f>
        <v>6149.54318279578</v>
      </c>
      <c r="C33" s="60">
        <f t="shared" ref="C33:H33" si="2">SUM(C35,C41,C44,C47)</f>
        <v>836.781456125584</v>
      </c>
      <c r="D33" s="60">
        <f t="shared" si="2"/>
        <v>251.071545559979</v>
      </c>
      <c r="E33" s="60">
        <f t="shared" si="2"/>
        <v>585.709910565605</v>
      </c>
      <c r="F33" s="60">
        <f t="shared" si="2"/>
        <v>1471.92808647979</v>
      </c>
      <c r="G33" s="60">
        <f t="shared" si="2"/>
        <v>3840.83364019041</v>
      </c>
      <c r="H33" s="49">
        <f t="shared" si="2"/>
        <v>12096.8996226415</v>
      </c>
    </row>
    <row r="34" ht="18" spans="1:9">
      <c r="A34" s="59" t="s">
        <v>10</v>
      </c>
      <c r="B34" s="60">
        <f>B32-B33</f>
        <v>-1149.84506958823</v>
      </c>
      <c r="C34" s="60">
        <f t="shared" ref="C34:H34" si="3">C32-C33</f>
        <v>-647.724852351999</v>
      </c>
      <c r="D34" s="60">
        <f t="shared" si="3"/>
        <v>-251.071545559979</v>
      </c>
      <c r="E34" s="60">
        <f t="shared" si="3"/>
        <v>-396.65330679202</v>
      </c>
      <c r="F34" s="60">
        <f t="shared" si="3"/>
        <v>-687.399784592998</v>
      </c>
      <c r="G34" s="60">
        <f t="shared" si="3"/>
        <v>185.279567356759</v>
      </c>
      <c r="H34" s="49">
        <f t="shared" si="3"/>
        <v>5703.10037735849</v>
      </c>
    </row>
    <row r="35" ht="18" spans="1:9">
      <c r="A35" s="59" t="s">
        <v>40</v>
      </c>
      <c r="B35" s="60">
        <f>B36+B37+B40</f>
        <v>3447.19339622641</v>
      </c>
      <c r="C35" s="60">
        <f t="shared" ref="C35:H35" si="4">C36+C37+C40</f>
        <v>480.77358490566</v>
      </c>
      <c r="D35" s="60">
        <f t="shared" si="4"/>
        <v>176.768867924528</v>
      </c>
      <c r="E35" s="60">
        <f t="shared" si="4"/>
        <v>304.004716981132</v>
      </c>
      <c r="F35" s="60">
        <f t="shared" si="4"/>
        <v>751.066037735849</v>
      </c>
      <c r="G35" s="60">
        <f t="shared" si="4"/>
        <v>2215.35377358491</v>
      </c>
      <c r="H35" s="49">
        <f t="shared" si="4"/>
        <v>7075.85962264151</v>
      </c>
    </row>
    <row r="36" ht="17.25" spans="1:9">
      <c r="A36" s="26" t="s">
        <v>41</v>
      </c>
      <c r="B36" s="49">
        <f>C36+F36+G36</f>
        <v>94.3396226415094</v>
      </c>
      <c r="C36" s="61">
        <f>年度运营成本测算明细!D18</f>
        <v>94.3396226415094</v>
      </c>
      <c r="D36" s="61">
        <f>年度运营成本测算明细!D18</f>
        <v>94.3396226415094</v>
      </c>
      <c r="E36" s="61">
        <f>年度运营成本测算明细!E18</f>
        <v>0</v>
      </c>
      <c r="F36" s="61">
        <f>年度运营成本测算明细!F18</f>
        <v>0</v>
      </c>
      <c r="G36" s="61">
        <f>年度运营成本测算明细!G18</f>
        <v>0</v>
      </c>
      <c r="H36" s="61">
        <v>0</v>
      </c>
    </row>
    <row r="37" ht="17.25" spans="1:9">
      <c r="A37" s="26" t="s">
        <v>42</v>
      </c>
      <c r="B37" s="49">
        <f>B38+B39</f>
        <v>1852.94433962264</v>
      </c>
      <c r="C37" s="49">
        <f t="shared" ref="C37:H37" si="5">C38+C39</f>
        <v>329.716981132075</v>
      </c>
      <c r="D37" s="49">
        <f t="shared" si="5"/>
        <v>82.4292452830189</v>
      </c>
      <c r="E37" s="49">
        <f t="shared" si="5"/>
        <v>247.287735849057</v>
      </c>
      <c r="F37" s="49">
        <f t="shared" si="5"/>
        <v>515.707547169811</v>
      </c>
      <c r="G37" s="49">
        <f t="shared" si="5"/>
        <v>1007.51981132076</v>
      </c>
      <c r="H37" s="49">
        <f t="shared" si="5"/>
        <v>1735.85962264151</v>
      </c>
    </row>
    <row r="38" ht="17.25" spans="1:9">
      <c r="A38" s="7" t="s">
        <v>43</v>
      </c>
      <c r="B38" s="49">
        <f>C38+F38+G38</f>
        <v>815.094339622641</v>
      </c>
      <c r="C38" s="61">
        <f>D38+E38</f>
        <v>54.7169811320755</v>
      </c>
      <c r="D38" s="61">
        <f>年度运营成本测算明细!D15</f>
        <v>13.6792452830189</v>
      </c>
      <c r="E38" s="61">
        <f>年度运营成本测算明细!E15</f>
        <v>41.0377358490566</v>
      </c>
      <c r="F38" s="61">
        <f>年度运营成本测算明细!F15</f>
        <v>213.207547169811</v>
      </c>
      <c r="G38" s="61">
        <f>年度运营成本测算明细!G15</f>
        <v>547.169811320755</v>
      </c>
      <c r="H38" s="61">
        <f>G38*2</f>
        <v>1094.33962264151</v>
      </c>
    </row>
    <row r="39" ht="17.25" spans="1:9">
      <c r="A39" s="7" t="s">
        <v>44</v>
      </c>
      <c r="B39" s="49">
        <f>C39+F39+G39</f>
        <v>1037.85</v>
      </c>
      <c r="C39" s="49">
        <f>D39+E39</f>
        <v>275</v>
      </c>
      <c r="D39" s="49">
        <f>$I$25*E72/12*3</f>
        <v>68.75</v>
      </c>
      <c r="E39" s="49">
        <f>$I$25*E72/12*6+$I$25*F72/12*3</f>
        <v>206.25</v>
      </c>
      <c r="F39" s="49">
        <f>$I$25*F72/12*9+$I$25*G72/12*3</f>
        <v>302.5</v>
      </c>
      <c r="G39" s="49">
        <f>($I$25*G72/12*9+$I$25*H72/12*3)*1.08</f>
        <v>460.35</v>
      </c>
      <c r="H39" s="49">
        <f>$I$25*1.08*1.08*H72</f>
        <v>641.52</v>
      </c>
    </row>
    <row r="40" ht="17.25" spans="1:9">
      <c r="A40" s="7" t="s">
        <v>45</v>
      </c>
      <c r="B40" s="49">
        <f>C40+F40+G40</f>
        <v>1499.90943396226</v>
      </c>
      <c r="C40" s="49">
        <f>D40+E40</f>
        <v>56.7169811320755</v>
      </c>
      <c r="D40" s="49">
        <f t="shared" ref="D40:I40" si="6">D32*D22</f>
        <v>0</v>
      </c>
      <c r="E40" s="49">
        <f t="shared" si="6"/>
        <v>56.7169811320755</v>
      </c>
      <c r="F40" s="49">
        <f t="shared" si="6"/>
        <v>235.358490566038</v>
      </c>
      <c r="G40" s="49">
        <f t="shared" si="6"/>
        <v>1207.83396226415</v>
      </c>
      <c r="H40" s="63">
        <f t="shared" si="6"/>
        <v>5340</v>
      </c>
      <c r="I40" s="49">
        <f t="shared" si="6"/>
        <v>0</v>
      </c>
    </row>
    <row r="41" ht="18" spans="1:9">
      <c r="A41" s="59" t="s">
        <v>46</v>
      </c>
      <c r="B41" s="60">
        <f>B42+B43</f>
        <v>1594.6320754717</v>
      </c>
      <c r="C41" s="60">
        <f>C42+C43</f>
        <v>151.25</v>
      </c>
      <c r="D41" s="60">
        <f t="shared" ref="C41:H41" si="7">D42+D43</f>
        <v>27.5</v>
      </c>
      <c r="E41" s="60">
        <f t="shared" si="7"/>
        <v>123.75</v>
      </c>
      <c r="F41" s="60">
        <f t="shared" si="7"/>
        <v>410.47641509434</v>
      </c>
      <c r="G41" s="60">
        <f t="shared" si="7"/>
        <v>1032.90566037736</v>
      </c>
      <c r="H41" s="49">
        <f t="shared" si="7"/>
        <v>2173.04</v>
      </c>
    </row>
    <row r="42" ht="17.25" spans="1:9">
      <c r="A42" s="7" t="s">
        <v>47</v>
      </c>
      <c r="B42" s="49">
        <f>C42+F42+G42</f>
        <v>240.532075471698</v>
      </c>
      <c r="C42" s="49">
        <f>D42+E42</f>
        <v>0</v>
      </c>
      <c r="D42" s="49">
        <f t="shared" ref="D42:H42" si="8">D32*D23</f>
        <v>0</v>
      </c>
      <c r="E42" s="49">
        <f t="shared" si="8"/>
        <v>0</v>
      </c>
      <c r="F42" s="49">
        <f t="shared" si="8"/>
        <v>39.2264150943396</v>
      </c>
      <c r="G42" s="49">
        <f t="shared" si="8"/>
        <v>201.305660377359</v>
      </c>
      <c r="H42" s="49">
        <f t="shared" si="8"/>
        <v>890</v>
      </c>
    </row>
    <row r="43" ht="17.25" spans="1:9">
      <c r="A43" s="7" t="s">
        <v>48</v>
      </c>
      <c r="B43" s="49">
        <f>C43+F43+G43</f>
        <v>1354.1</v>
      </c>
      <c r="C43" s="49">
        <f>D43+E43</f>
        <v>151.25</v>
      </c>
      <c r="D43" s="49">
        <f>$I$25*E73/12*3</f>
        <v>27.5</v>
      </c>
      <c r="E43" s="49">
        <f>$I$25*E73/12*6+$I$25*F73/12*3</f>
        <v>123.75</v>
      </c>
      <c r="F43" s="49">
        <f>$I$25*F73/12*9+$I$25*G73/12*3</f>
        <v>371.25</v>
      </c>
      <c r="G43" s="49">
        <f>($I$25*G73/12*9+$I$25*H73/12*3)*1.08</f>
        <v>831.6</v>
      </c>
      <c r="H43" s="49">
        <f>$I$25*H73*1.08*1.08</f>
        <v>1283.04</v>
      </c>
    </row>
    <row r="44" ht="18" spans="1:9">
      <c r="A44" s="59" t="s">
        <v>49</v>
      </c>
      <c r="B44" s="60">
        <f t="shared" ref="B44:G44" si="9">B45+B46</f>
        <v>1080.40705816168</v>
      </c>
      <c r="C44" s="60">
        <f t="shared" si="9"/>
        <v>204.282175004327</v>
      </c>
      <c r="D44" s="60">
        <f t="shared" si="9"/>
        <v>46.7940972823265</v>
      </c>
      <c r="E44" s="60">
        <f t="shared" si="9"/>
        <v>157.488077722001</v>
      </c>
      <c r="F44" s="60">
        <f t="shared" si="9"/>
        <v>306.792842305695</v>
      </c>
      <c r="G44" s="60">
        <f t="shared" si="9"/>
        <v>569.332040851653</v>
      </c>
      <c r="H44" s="49"/>
    </row>
    <row r="45" ht="17.25" spans="1:9">
      <c r="A45" s="7" t="s">
        <v>50</v>
      </c>
      <c r="B45" s="49">
        <f>C45+F45+G45</f>
        <v>333.057058161676</v>
      </c>
      <c r="C45" s="49">
        <f>D45+E45</f>
        <v>30.5321750043275</v>
      </c>
      <c r="D45" s="49">
        <f>年度运营成本测算明细!D28</f>
        <v>9.29409728232647</v>
      </c>
      <c r="E45" s="49">
        <f>年度运营成本测算明细!E28</f>
        <v>21.238077722001</v>
      </c>
      <c r="F45" s="49">
        <f>年度运营成本测算明细!F28</f>
        <v>51.792842305695</v>
      </c>
      <c r="G45" s="49">
        <f>年度运营成本测算明细!G28</f>
        <v>250.732040851653</v>
      </c>
      <c r="H45" s="49">
        <f>G45*2</f>
        <v>501.464081703306</v>
      </c>
    </row>
    <row r="46" ht="17.25" spans="1:9">
      <c r="A46" s="7" t="s">
        <v>51</v>
      </c>
      <c r="B46" s="49">
        <f>C46+F46+G46</f>
        <v>747.35</v>
      </c>
      <c r="C46" s="49">
        <f>D46+E46</f>
        <v>173.75</v>
      </c>
      <c r="D46" s="49">
        <f>($I$25*E71+$I$26*E74)/12*3</f>
        <v>37.5</v>
      </c>
      <c r="E46" s="49">
        <f>($I$25*E71+$I$26*E74)/12*6+($I$25*F71+$I$26*F74)/12*3</f>
        <v>136.25</v>
      </c>
      <c r="F46" s="49">
        <f>($I$25*F71+$I$26*F74)/12*9+($I$25*G71+$I$26*G74)/12*3</f>
        <v>255</v>
      </c>
      <c r="G46" s="49">
        <f>(($I$25*G71+$I$26*G74)/12*9+($I$25*H71+$I$26*H74)/12*3)*1.08</f>
        <v>318.6</v>
      </c>
      <c r="H46" s="49">
        <f>(($I$25*H71+$I$26*H74)*1.08*1.08)</f>
        <v>379.08</v>
      </c>
    </row>
    <row r="47" ht="18" spans="1:9">
      <c r="A47" s="59" t="s">
        <v>52</v>
      </c>
      <c r="B47" s="60">
        <f>C47+F47+G47</f>
        <v>27.3106529359962</v>
      </c>
      <c r="C47" s="60">
        <f>D47+E47</f>
        <v>0.47569621559633</v>
      </c>
      <c r="D47" s="60">
        <f>SUM(月度资金计划!B30:D30)</f>
        <v>0.00858035312445906</v>
      </c>
      <c r="E47" s="60">
        <f>SUM(月度资金计划!E30:M30)</f>
        <v>0.467115862471871</v>
      </c>
      <c r="F47" s="60">
        <f>月度资金计划!AA30</f>
        <v>3.59279134390687</v>
      </c>
      <c r="G47" s="60">
        <f>月度资金计划!AN30</f>
        <v>23.242165376493</v>
      </c>
      <c r="H47" s="49">
        <f>H32*16%</f>
        <v>2848</v>
      </c>
    </row>
    <row r="48" customFormat="1" ht="18" hidden="1" spans="1:9">
      <c r="A48" s="59" t="s">
        <v>53</v>
      </c>
      <c r="B48" s="49"/>
      <c r="C48" s="49"/>
      <c r="D48" s="49"/>
      <c r="E48" s="49"/>
      <c r="F48" s="49"/>
      <c r="G48" s="49"/>
      <c r="H48" s="49">
        <f>(H34+B34)*0.25</f>
        <v>1138.31382694256</v>
      </c>
    </row>
    <row r="49" customFormat="1" ht="18" hidden="1" spans="1:8">
      <c r="A49" s="59" t="s">
        <v>54</v>
      </c>
      <c r="B49" s="49"/>
      <c r="C49" s="49"/>
      <c r="D49" s="49"/>
      <c r="E49" s="49"/>
      <c r="F49" s="49"/>
      <c r="G49" s="49"/>
      <c r="H49" s="49">
        <f>H34-H48</f>
        <v>4564.78655041593</v>
      </c>
    </row>
    <row r="52" ht="21" spans="1:8">
      <c r="A52" s="1" t="s">
        <v>55</v>
      </c>
      <c r="B52" s="1" t="s">
        <v>1</v>
      </c>
      <c r="C52" s="1" t="s">
        <v>2</v>
      </c>
      <c r="D52" s="1"/>
      <c r="E52" s="1"/>
      <c r="F52" s="1" t="s">
        <v>3</v>
      </c>
      <c r="G52" s="1" t="s">
        <v>4</v>
      </c>
    </row>
    <row r="53" ht="21" spans="1:8">
      <c r="A53" s="1"/>
      <c r="B53" s="1"/>
      <c r="C53" s="1" t="s">
        <v>5</v>
      </c>
      <c r="D53" s="1" t="s">
        <v>6</v>
      </c>
      <c r="E53" s="1" t="s">
        <v>7</v>
      </c>
      <c r="F53" s="1"/>
      <c r="G53" s="1"/>
    </row>
    <row r="54" ht="18" spans="1:8">
      <c r="A54" s="5" t="s">
        <v>56</v>
      </c>
      <c r="B54" s="64">
        <f>C54+F54+G54</f>
        <v>29998.4</v>
      </c>
      <c r="C54" s="64">
        <f>SUM(C55:C56)</f>
        <v>2002</v>
      </c>
      <c r="D54" s="64">
        <f>SUM(D55:D56)</f>
        <v>1000</v>
      </c>
      <c r="E54" s="64">
        <f>SUM(E55:E56)</f>
        <v>1002</v>
      </c>
      <c r="F54" s="64">
        <f>SUM(F55:F56)</f>
        <v>5658</v>
      </c>
      <c r="G54" s="64">
        <f>SUM(G55:G56)</f>
        <v>22338.4</v>
      </c>
    </row>
    <row r="55" ht="17.25" spans="1:8">
      <c r="A55" s="7" t="s">
        <v>57</v>
      </c>
      <c r="B55" s="49">
        <f t="shared" ref="B55:B65" si="10">C55+F55+G55</f>
        <v>26498.4</v>
      </c>
      <c r="C55" s="49">
        <f>D55+E55</f>
        <v>1002</v>
      </c>
      <c r="D55" s="49">
        <f>SUM(月度资金计划!B4:D4)*1.06</f>
        <v>0</v>
      </c>
      <c r="E55" s="49">
        <f>SUM(月度资金计划!E4:M4)*1.06</f>
        <v>1002</v>
      </c>
      <c r="F55" s="49">
        <f>月度资金计划!AA4*1.06</f>
        <v>4158</v>
      </c>
      <c r="G55" s="49">
        <f>月度资金计划!AN4*1.06</f>
        <v>21338.4</v>
      </c>
    </row>
    <row r="56" ht="17.25" spans="1:8">
      <c r="A56" s="7" t="s">
        <v>58</v>
      </c>
      <c r="B56" s="49">
        <f t="shared" si="10"/>
        <v>3500</v>
      </c>
      <c r="C56" s="49">
        <f>月度资金计划!N5</f>
        <v>1000</v>
      </c>
      <c r="D56" s="49">
        <f>SUM(月度资金计划!B5:D5)</f>
        <v>1000</v>
      </c>
      <c r="E56" s="49">
        <f>SUM(月度资金计划!E5:M5)</f>
        <v>0</v>
      </c>
      <c r="F56" s="49">
        <f>月度资金计划!AA5</f>
        <v>1500</v>
      </c>
      <c r="G56" s="49">
        <f>月度资金计划!AN5</f>
        <v>1000</v>
      </c>
    </row>
    <row r="57" ht="18" spans="1:8">
      <c r="A57" s="5" t="s">
        <v>59</v>
      </c>
      <c r="B57" s="64">
        <f t="shared" si="10"/>
        <v>27648.672037305</v>
      </c>
      <c r="C57" s="64">
        <f>SUM(C58:C64)</f>
        <v>1651.8331962156</v>
      </c>
      <c r="D57" s="64">
        <f>SUM(D58:D64)</f>
        <v>180.941080353124</v>
      </c>
      <c r="E57" s="64">
        <f>SUM(E58:E64)</f>
        <v>1470.89211586247</v>
      </c>
      <c r="F57" s="64">
        <f>SUM(F58:F64)</f>
        <v>4841.59692238078</v>
      </c>
      <c r="G57" s="64">
        <f>SUM(G58:G64)</f>
        <v>21155.2419187087</v>
      </c>
    </row>
    <row r="58" ht="17.25" spans="1:8">
      <c r="A58" s="7" t="s">
        <v>41</v>
      </c>
      <c r="B58" s="49">
        <f t="shared" si="10"/>
        <v>100</v>
      </c>
      <c r="C58" s="49">
        <f t="shared" ref="C58:C64" si="11">D58+E58</f>
        <v>100</v>
      </c>
      <c r="D58" s="49">
        <f>SUM(月度资金计划!B17:D17)*1.06</f>
        <v>25</v>
      </c>
      <c r="E58" s="49">
        <f>SUM(月度资金计划!E17:M17)*1.06</f>
        <v>75</v>
      </c>
      <c r="F58" s="49">
        <f>月度资金计划!AA17</f>
        <v>0</v>
      </c>
      <c r="G58" s="49">
        <f>月度资金计划!AN17</f>
        <v>0</v>
      </c>
    </row>
    <row r="59" ht="17.25" spans="1:8">
      <c r="A59" s="7" t="s">
        <v>42</v>
      </c>
      <c r="B59" s="49">
        <f t="shared" si="10"/>
        <v>864.000000000001</v>
      </c>
      <c r="C59" s="49">
        <f t="shared" si="11"/>
        <v>58</v>
      </c>
      <c r="D59" s="49">
        <f>SUM(月度资金计划!B12:D12)*1.06</f>
        <v>14.5</v>
      </c>
      <c r="E59" s="49">
        <f>SUM(月度资金计划!E12:M12)*1.06</f>
        <v>43.5</v>
      </c>
      <c r="F59" s="49">
        <f>月度资金计划!AA12*1.06</f>
        <v>226</v>
      </c>
      <c r="G59" s="49">
        <f>月度资金计划!AN12*1.06</f>
        <v>580</v>
      </c>
    </row>
    <row r="60" ht="17.25" spans="1:8">
      <c r="A60" s="7" t="s">
        <v>60</v>
      </c>
      <c r="B60" s="49">
        <f t="shared" si="10"/>
        <v>3139.3</v>
      </c>
      <c r="C60" s="49">
        <f t="shared" si="11"/>
        <v>600</v>
      </c>
      <c r="D60" s="49">
        <f>SUM(月度资金计划!B7:D7)</f>
        <v>133.75</v>
      </c>
      <c r="E60" s="49">
        <f>SUM(月度资金计划!E7:M7)</f>
        <v>466.25</v>
      </c>
      <c r="F60" s="61">
        <f>月度资金计划!AA7</f>
        <v>928.749999999999</v>
      </c>
      <c r="G60" s="49">
        <f>月度资金计划!AN7</f>
        <v>1610.55</v>
      </c>
    </row>
    <row r="61" ht="17.25" spans="1:8">
      <c r="A61" s="7" t="s">
        <v>61</v>
      </c>
      <c r="B61" s="49">
        <f t="shared" si="10"/>
        <v>1844.868</v>
      </c>
      <c r="C61" s="49">
        <f t="shared" si="11"/>
        <v>60.12</v>
      </c>
      <c r="D61" s="49">
        <f>SUM(月度资金计划!B19:D19)</f>
        <v>0</v>
      </c>
      <c r="E61" s="49">
        <f>SUM(月度资金计划!E19:M19)*1.06</f>
        <v>60.12</v>
      </c>
      <c r="F61" s="61">
        <f>月度资金计划!AA19*1.06</f>
        <v>291.06</v>
      </c>
      <c r="G61" s="49">
        <f>月度资金计划!AN19*1.06</f>
        <v>1493.688</v>
      </c>
    </row>
    <row r="62" ht="17.25" spans="1:8">
      <c r="A62" s="7" t="s">
        <v>62</v>
      </c>
      <c r="B62" s="49">
        <f t="shared" si="10"/>
        <v>350.6325</v>
      </c>
      <c r="C62" s="49">
        <f t="shared" si="11"/>
        <v>31.6375</v>
      </c>
      <c r="D62" s="49">
        <f>SUM(月度资金计划!B23:D23,月度资金计划!B25:D25)*1.06+SUM(月度资金计划!B24:D24)*1.09+SUM(月度资金计划!B26:D26)</f>
        <v>7.6825</v>
      </c>
      <c r="E62" s="49">
        <f>SUM(月度资金计划!E23:M23,月度资金计划!E25:M25)*1.06+SUM(月度资金计划!E24:M24)*1.09+SUM(月度资金计划!E26:M26)</f>
        <v>23.955</v>
      </c>
      <c r="F62" s="61">
        <f>(月度资金计划!AA23+月度资金计划!AA25)*1.06+月度资金计划!AA24*1.09+月度资金计划!AA26</f>
        <v>53.9324999999999</v>
      </c>
      <c r="G62" s="49">
        <f>(月度资金计划!AN23+月度资金计划!AN25)*1.06+月度资金计划!AN24*1.09+月度资金计划!AN26</f>
        <v>265.0625</v>
      </c>
    </row>
    <row r="63" ht="17.25" spans="1:8">
      <c r="A63" s="7" t="s">
        <v>63</v>
      </c>
      <c r="B63" s="49">
        <f t="shared" si="10"/>
        <v>21198.72</v>
      </c>
      <c r="C63" s="49">
        <f t="shared" si="11"/>
        <v>801.6</v>
      </c>
      <c r="D63" s="49">
        <f>SUM(月度资金计划!B27:D27)*1.06</f>
        <v>0</v>
      </c>
      <c r="E63" s="49">
        <f>SUM(月度资金计划!E27:M27)*1.06</f>
        <v>801.6</v>
      </c>
      <c r="F63" s="61">
        <f>月度资金计划!AA27*1.06</f>
        <v>3326.4</v>
      </c>
      <c r="G63" s="49">
        <f>月度资金计划!AN27*1.06</f>
        <v>17070.72</v>
      </c>
    </row>
    <row r="64" ht="17.25" spans="1:8">
      <c r="A64" s="7" t="s">
        <v>64</v>
      </c>
      <c r="B64" s="49">
        <f t="shared" si="10"/>
        <v>151.151537305046</v>
      </c>
      <c r="C64" s="49">
        <f t="shared" si="11"/>
        <v>0.47569621559633</v>
      </c>
      <c r="D64" s="49">
        <f>SUM(月度资金计划!B28:D28)</f>
        <v>0.00858035312445906</v>
      </c>
      <c r="E64" s="49">
        <f>SUM(月度资金计划!E28:M28)</f>
        <v>0.467115862471871</v>
      </c>
      <c r="F64" s="49">
        <f>月度资金计划!AA28</f>
        <v>15.4544223807772</v>
      </c>
      <c r="G64" s="49">
        <f>月度资金计划!AN28</f>
        <v>135.221418708672</v>
      </c>
    </row>
    <row r="65" ht="18" spans="1:11">
      <c r="A65" s="5" t="s">
        <v>65</v>
      </c>
      <c r="B65" s="64"/>
      <c r="C65" s="64">
        <f>C54-C57</f>
        <v>350.166803784404</v>
      </c>
      <c r="D65" s="64">
        <f>D54-D57</f>
        <v>819.058919646876</v>
      </c>
      <c r="E65" s="64">
        <f>E54-E57</f>
        <v>-468.892115862472</v>
      </c>
      <c r="F65" s="64">
        <f>F54-F57</f>
        <v>816.403077619223</v>
      </c>
      <c r="G65" s="64">
        <f>G54-G57</f>
        <v>1183.15808129133</v>
      </c>
    </row>
    <row r="66" ht="18" spans="1:11">
      <c r="A66" s="5" t="s">
        <v>66</v>
      </c>
      <c r="B66" s="64">
        <f>G66</f>
        <v>2349.72796269495</v>
      </c>
      <c r="C66" s="64">
        <f>C65</f>
        <v>350.166803784404</v>
      </c>
      <c r="D66" s="64">
        <f>D65</f>
        <v>819.058919646876</v>
      </c>
      <c r="E66" s="64">
        <f>D66+E65</f>
        <v>350.166803784403</v>
      </c>
      <c r="F66" s="64">
        <f>C66+F65</f>
        <v>1166.56988140363</v>
      </c>
      <c r="G66" s="64">
        <f>F66+G65</f>
        <v>2349.72796269495</v>
      </c>
    </row>
    <row r="69" ht="21" spans="1:11">
      <c r="A69" s="1" t="s">
        <v>67</v>
      </c>
      <c r="B69" s="1"/>
      <c r="C69" s="1" t="s">
        <v>68</v>
      </c>
      <c r="D69" s="1"/>
      <c r="E69" s="1"/>
      <c r="F69" s="1" t="s">
        <v>69</v>
      </c>
      <c r="G69" s="1" t="s">
        <v>70</v>
      </c>
      <c r="H69" t="s">
        <v>71</v>
      </c>
    </row>
    <row r="70" ht="21" spans="1:11">
      <c r="A70" s="1"/>
      <c r="B70" s="1"/>
      <c r="C70" s="1" t="s">
        <v>5</v>
      </c>
      <c r="D70" s="1" t="s">
        <v>6</v>
      </c>
      <c r="E70" s="1" t="s">
        <v>7</v>
      </c>
      <c r="F70" s="1"/>
      <c r="G70" s="1"/>
    </row>
    <row r="71" ht="17.25" spans="1:11">
      <c r="A71" s="7" t="s">
        <v>72</v>
      </c>
      <c r="B71" s="7"/>
      <c r="C71" s="49">
        <f>MAX(D71,E71)</f>
        <v>2</v>
      </c>
      <c r="D71" s="49">
        <v>2</v>
      </c>
      <c r="E71" s="49">
        <v>2</v>
      </c>
      <c r="F71" s="49">
        <v>3</v>
      </c>
      <c r="G71" s="49">
        <v>3</v>
      </c>
      <c r="H71">
        <v>3</v>
      </c>
    </row>
    <row r="72" ht="17.25" spans="1:11">
      <c r="A72" s="7" t="s">
        <v>73</v>
      </c>
      <c r="B72" s="7"/>
      <c r="C72" s="49">
        <f>MAX(D72,E72)</f>
        <v>5</v>
      </c>
      <c r="D72" s="49">
        <v>3</v>
      </c>
      <c r="E72" s="49">
        <v>5</v>
      </c>
      <c r="F72" s="49">
        <v>5</v>
      </c>
      <c r="G72" s="49">
        <v>7</v>
      </c>
      <c r="H72">
        <v>10</v>
      </c>
    </row>
    <row r="73" ht="17.25" spans="1:11">
      <c r="A73" s="7" t="s">
        <v>74</v>
      </c>
      <c r="B73" s="7"/>
      <c r="C73" s="49">
        <f>MAX(D73,E73)</f>
        <v>2</v>
      </c>
      <c r="D73" s="49">
        <v>1</v>
      </c>
      <c r="E73" s="49">
        <v>2</v>
      </c>
      <c r="F73" s="49">
        <v>5</v>
      </c>
      <c r="G73" s="49">
        <v>12</v>
      </c>
      <c r="H73">
        <v>20</v>
      </c>
    </row>
    <row r="74" ht="17.25" spans="1:11">
      <c r="A74" s="7" t="s">
        <v>75</v>
      </c>
      <c r="B74" s="7"/>
      <c r="C74" s="49">
        <f>MAX(D74,E74)</f>
        <v>1</v>
      </c>
      <c r="D74" s="49">
        <v>1</v>
      </c>
      <c r="E74" s="49">
        <v>1</v>
      </c>
      <c r="F74" s="49">
        <v>2</v>
      </c>
      <c r="G74" s="49">
        <v>3</v>
      </c>
      <c r="H74">
        <v>4</v>
      </c>
    </row>
    <row r="75" ht="17.25" spans="1:11">
      <c r="A75" s="7" t="s">
        <v>5</v>
      </c>
      <c r="B75" s="7"/>
      <c r="C75" s="49">
        <f t="shared" ref="C75:H75" si="12">SUM(C71:C74)</f>
        <v>10</v>
      </c>
      <c r="D75" s="49">
        <f t="shared" si="12"/>
        <v>7</v>
      </c>
      <c r="E75" s="49">
        <f t="shared" si="12"/>
        <v>10</v>
      </c>
      <c r="F75" s="49">
        <f t="shared" si="12"/>
        <v>15</v>
      </c>
      <c r="G75" s="49">
        <f t="shared" si="12"/>
        <v>25</v>
      </c>
      <c r="H75">
        <f t="shared" si="12"/>
        <v>37</v>
      </c>
    </row>
    <row r="78" ht="17.25" spans="1:11">
      <c r="A78" s="14" t="s">
        <v>76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</row>
    <row r="79" s="38" customFormat="1" ht="16.5" spans="1:11">
      <c r="A79" s="65" t="s">
        <v>77</v>
      </c>
      <c r="B79" s="65" t="s">
        <v>78</v>
      </c>
      <c r="C79" s="65"/>
      <c r="D79" s="65" t="s">
        <v>79</v>
      </c>
      <c r="E79" s="65"/>
      <c r="F79" s="65" t="s">
        <v>80</v>
      </c>
      <c r="G79" s="65"/>
      <c r="H79" s="66"/>
      <c r="I79" s="66"/>
      <c r="J79" s="65" t="s">
        <v>81</v>
      </c>
      <c r="K79" s="65"/>
    </row>
    <row r="80" s="38" customFormat="1" ht="33" spans="1:11">
      <c r="A80" s="65"/>
      <c r="B80" s="67" t="s">
        <v>82</v>
      </c>
      <c r="C80" s="67" t="s">
        <v>83</v>
      </c>
      <c r="D80" s="67" t="s">
        <v>84</v>
      </c>
      <c r="E80" s="67" t="s">
        <v>85</v>
      </c>
      <c r="F80" s="67" t="s">
        <v>86</v>
      </c>
      <c r="G80" s="67" t="s">
        <v>87</v>
      </c>
      <c r="H80" s="67"/>
      <c r="I80" s="67"/>
      <c r="J80" s="67" t="s">
        <v>88</v>
      </c>
      <c r="K80" s="67" t="s">
        <v>89</v>
      </c>
    </row>
    <row r="81" s="38" customFormat="1" ht="16.5" spans="1:12">
      <c r="A81" s="66" t="s">
        <v>11</v>
      </c>
      <c r="B81" s="68">
        <f>C6</f>
        <v>-1.54301397205589</v>
      </c>
      <c r="C81" s="68">
        <f>(B99+C99)/(B97+C97)</f>
        <v>0.4</v>
      </c>
      <c r="D81" s="68">
        <f>F6</f>
        <v>0.0426527176527177</v>
      </c>
      <c r="E81" s="68">
        <f>D107</f>
        <v>0.806188925081433</v>
      </c>
      <c r="F81" s="68">
        <f>G6</f>
        <v>0.449753730364039</v>
      </c>
      <c r="G81" s="68">
        <f>E107</f>
        <v>0.838399503722084</v>
      </c>
      <c r="H81" s="68"/>
      <c r="I81" s="68"/>
      <c r="J81" s="68">
        <f>(H32-H35)/H32</f>
        <v>0.602479796480814</v>
      </c>
      <c r="K81" s="68">
        <f>F107</f>
        <v>0.878671775223499</v>
      </c>
    </row>
    <row r="82" s="38" customFormat="1" ht="16.5" spans="1:12">
      <c r="A82" s="66" t="s">
        <v>12</v>
      </c>
      <c r="B82" s="68">
        <f>C7</f>
        <v>-3.42608953838882</v>
      </c>
      <c r="C82" s="68">
        <f>(B102+C102)/(B97+C97)</f>
        <v>0.0285204991087344</v>
      </c>
      <c r="D82" s="68">
        <f>F7</f>
        <v>-0.876195011626477</v>
      </c>
      <c r="E82" s="68">
        <f>D108</f>
        <v>0.193811074918567</v>
      </c>
      <c r="F82" s="68">
        <f>G7</f>
        <v>0.0460194628927579</v>
      </c>
      <c r="G82" s="68">
        <f>E108</f>
        <v>0.490074441687345</v>
      </c>
      <c r="H82" s="68"/>
      <c r="I82" s="68"/>
      <c r="J82" s="68">
        <f>H49/H32</f>
        <v>0.256448682607636</v>
      </c>
      <c r="K82" s="68">
        <f>F108</f>
        <v>0.608283160007298</v>
      </c>
      <c r="L82" s="69"/>
    </row>
    <row r="83" s="38" customFormat="1" ht="16.5" spans="1:12">
      <c r="A83" s="66" t="s">
        <v>90</v>
      </c>
      <c r="B83" s="68">
        <f>C41/C32</f>
        <v>0.8000249500998</v>
      </c>
      <c r="C83" s="68">
        <f>(B101+C101)/(B97+C97)</f>
        <v>0.42602495543672</v>
      </c>
      <c r="D83" s="68">
        <f>F41/F32</f>
        <v>0.523214285714286</v>
      </c>
      <c r="E83" s="68">
        <f>D109</f>
        <v>0.128664495114007</v>
      </c>
      <c r="F83" s="68">
        <f>G41/G32</f>
        <v>0.256551569002362</v>
      </c>
      <c r="G83" s="68">
        <f>E109</f>
        <v>0.319478908188586</v>
      </c>
      <c r="H83" s="68"/>
      <c r="I83" s="68"/>
      <c r="J83" s="68">
        <f>H41/H32</f>
        <v>0.122080898876404</v>
      </c>
      <c r="K83" s="68">
        <f>F109</f>
        <v>0.0797299762817004</v>
      </c>
    </row>
    <row r="84" ht="17.25" spans="1:1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</row>
    <row r="85" ht="16.5" spans="1:12">
      <c r="A85" s="70" t="s">
        <v>91</v>
      </c>
    </row>
    <row r="86" ht="16.5" spans="1:12">
      <c r="A86" s="70" t="s">
        <v>92</v>
      </c>
    </row>
    <row r="87" spans="1:12">
      <c r="A87" s="71" t="s">
        <v>93</v>
      </c>
      <c r="B87" s="71"/>
      <c r="C87" s="71"/>
      <c r="D87" s="71"/>
      <c r="E87" s="71"/>
      <c r="F87" s="71"/>
    </row>
    <row r="88" spans="1:12">
      <c r="A88" s="71"/>
      <c r="B88" s="71"/>
      <c r="C88" s="71"/>
      <c r="D88" s="71"/>
      <c r="E88" s="71"/>
      <c r="F88" s="71"/>
    </row>
    <row r="89" spans="1:12">
      <c r="A89" s="71"/>
      <c r="B89" s="71"/>
      <c r="C89" s="71"/>
      <c r="D89" s="71"/>
      <c r="E89" s="71"/>
      <c r="F89" s="71"/>
    </row>
    <row r="90" spans="1:12">
      <c r="A90" s="71"/>
      <c r="B90" s="71"/>
      <c r="C90" s="71"/>
      <c r="D90" s="71"/>
      <c r="E90" s="71"/>
      <c r="F90" s="71"/>
    </row>
    <row r="91" spans="1:12">
      <c r="A91" s="72" t="s">
        <v>94</v>
      </c>
      <c r="B91" s="72"/>
      <c r="C91" s="72"/>
      <c r="D91" s="72"/>
      <c r="E91" s="72"/>
      <c r="F91" s="72"/>
    </row>
    <row r="92" spans="1:12">
      <c r="A92" s="72"/>
      <c r="B92" s="72"/>
      <c r="C92" s="72"/>
      <c r="D92" s="72"/>
      <c r="E92" s="72"/>
      <c r="F92" s="72"/>
    </row>
    <row r="93" spans="1:12">
      <c r="A93" s="72"/>
      <c r="B93" s="72"/>
      <c r="C93" s="72"/>
      <c r="D93" s="72"/>
      <c r="E93" s="72"/>
      <c r="F93" s="72"/>
    </row>
    <row r="95" ht="16.5" spans="1:12">
      <c r="A95" s="70" t="s">
        <v>95</v>
      </c>
      <c r="B95" s="70"/>
      <c r="C95" s="70"/>
      <c r="D95" s="70"/>
      <c r="E95" s="70"/>
      <c r="F95" s="70"/>
    </row>
    <row r="96" ht="16.5" spans="1:12">
      <c r="A96" s="66" t="s">
        <v>96</v>
      </c>
      <c r="B96" s="66" t="s">
        <v>97</v>
      </c>
      <c r="C96" s="66" t="s">
        <v>98</v>
      </c>
      <c r="D96" s="66" t="s">
        <v>99</v>
      </c>
      <c r="E96" s="66" t="s">
        <v>100</v>
      </c>
      <c r="F96" s="66" t="s">
        <v>101</v>
      </c>
    </row>
    <row r="97" ht="16.5" spans="1:6">
      <c r="A97" s="66" t="s">
        <v>102</v>
      </c>
      <c r="B97" s="66">
        <v>27.93</v>
      </c>
      <c r="C97" s="66">
        <v>28.17</v>
      </c>
      <c r="D97" s="66">
        <v>18.42</v>
      </c>
      <c r="E97" s="66">
        <v>32.24</v>
      </c>
      <c r="F97" s="66">
        <v>54.81</v>
      </c>
    </row>
    <row r="98" ht="16.5" spans="1:6">
      <c r="A98" s="66" t="s">
        <v>103</v>
      </c>
      <c r="B98" s="66"/>
      <c r="C98" s="66"/>
      <c r="D98" s="68">
        <f>(D97-C97)/C97</f>
        <v>-0.346112886048988</v>
      </c>
      <c r="E98" s="68">
        <f>(E97-D97)/D97</f>
        <v>0.750271444082519</v>
      </c>
      <c r="F98" s="68">
        <f>(F97-E97)/E97</f>
        <v>0.700062034739454</v>
      </c>
    </row>
    <row r="99" ht="16.5" spans="1:6">
      <c r="A99" s="66" t="s">
        <v>104</v>
      </c>
      <c r="B99" s="66">
        <v>9.88</v>
      </c>
      <c r="C99" s="66">
        <v>12.56</v>
      </c>
      <c r="D99" s="66">
        <v>3.57</v>
      </c>
      <c r="E99" s="66">
        <v>5.21</v>
      </c>
      <c r="F99" s="66">
        <v>6.65</v>
      </c>
    </row>
    <row r="100" ht="16.5" spans="1:6">
      <c r="A100" s="66" t="s">
        <v>105</v>
      </c>
      <c r="B100" s="66">
        <f>B97-B99</f>
        <v>18.05</v>
      </c>
      <c r="C100" s="66">
        <f>C97-C99</f>
        <v>15.61</v>
      </c>
      <c r="D100" s="66">
        <f>D97-D99</f>
        <v>14.85</v>
      </c>
      <c r="E100" s="66">
        <f>E97-E99</f>
        <v>27.03</v>
      </c>
      <c r="F100" s="66">
        <f>F97-F99</f>
        <v>48.16</v>
      </c>
    </row>
    <row r="101" ht="16.5" spans="1:6">
      <c r="A101" s="66" t="s">
        <v>106</v>
      </c>
      <c r="B101" s="66">
        <v>12.89</v>
      </c>
      <c r="C101" s="66">
        <v>11.01</v>
      </c>
      <c r="D101" s="66">
        <v>2.37</v>
      </c>
      <c r="E101" s="66">
        <v>10.3</v>
      </c>
      <c r="F101" s="66">
        <v>4.37</v>
      </c>
    </row>
    <row r="102" ht="16.5" spans="1:6">
      <c r="A102" s="66" t="s">
        <v>107</v>
      </c>
      <c r="B102" s="66">
        <v>3.53</v>
      </c>
      <c r="C102" s="66">
        <v>-1.93</v>
      </c>
      <c r="D102" s="66">
        <v>3.57</v>
      </c>
      <c r="E102" s="66">
        <v>15.8</v>
      </c>
      <c r="F102" s="66">
        <v>33.34</v>
      </c>
    </row>
    <row r="103" ht="16.5" spans="1:6">
      <c r="A103" s="66" t="s">
        <v>108</v>
      </c>
      <c r="B103" s="66">
        <v>0.1</v>
      </c>
      <c r="C103" s="66">
        <v>-0.52</v>
      </c>
      <c r="D103" s="66">
        <v>1.01</v>
      </c>
      <c r="E103" s="66">
        <v>4.68</v>
      </c>
      <c r="F103" s="66">
        <v>9.84</v>
      </c>
    </row>
    <row r="104" ht="16.5" spans="1:6">
      <c r="A104" s="66" t="s">
        <v>109</v>
      </c>
      <c r="B104" s="66">
        <v>61.64</v>
      </c>
      <c r="C104" s="66">
        <v>58.48</v>
      </c>
      <c r="D104" s="66">
        <v>53.59</v>
      </c>
      <c r="E104" s="66">
        <v>58.69</v>
      </c>
      <c r="F104" s="66">
        <v>72.6</v>
      </c>
    </row>
    <row r="105" ht="16.5" spans="1:6">
      <c r="A105" s="66" t="s">
        <v>110</v>
      </c>
      <c r="B105" s="66">
        <v>40.25</v>
      </c>
      <c r="C105" s="66">
        <v>39.45</v>
      </c>
      <c r="D105" s="66">
        <v>41.03</v>
      </c>
      <c r="E105" s="66">
        <v>47.79</v>
      </c>
      <c r="F105" s="66">
        <v>51.25</v>
      </c>
    </row>
    <row r="106" ht="16.5" spans="1:6">
      <c r="A106" s="66" t="s">
        <v>111</v>
      </c>
      <c r="B106" s="66">
        <v>3.62</v>
      </c>
      <c r="C106" s="66">
        <v>4.13</v>
      </c>
      <c r="D106" s="66">
        <v>10.62</v>
      </c>
      <c r="E106" s="66">
        <v>20.99</v>
      </c>
      <c r="F106" s="66">
        <v>39.71</v>
      </c>
    </row>
    <row r="107" ht="16.5" spans="1:6">
      <c r="A107" s="66" t="s">
        <v>11</v>
      </c>
      <c r="B107" s="68">
        <f>B100/B97</f>
        <v>0.64625850340136</v>
      </c>
      <c r="C107" s="68">
        <f>C100/C97</f>
        <v>0.554135605253816</v>
      </c>
      <c r="D107" s="68">
        <f>D100/D97</f>
        <v>0.806188925081433</v>
      </c>
      <c r="E107" s="68">
        <f>E100/E97</f>
        <v>0.838399503722084</v>
      </c>
      <c r="F107" s="68">
        <f>F100/F97</f>
        <v>0.878671775223499</v>
      </c>
    </row>
    <row r="108" ht="16.5" spans="1:6">
      <c r="A108" s="66" t="s">
        <v>12</v>
      </c>
      <c r="B108" s="68">
        <f>B102/B97</f>
        <v>0.126387397064089</v>
      </c>
      <c r="C108" s="68">
        <f>C102/C97</f>
        <v>-0.0685126020589279</v>
      </c>
      <c r="D108" s="68">
        <f>D102/D97</f>
        <v>0.193811074918567</v>
      </c>
      <c r="E108" s="68">
        <f>E102/E97</f>
        <v>0.490074441687345</v>
      </c>
      <c r="F108" s="68">
        <f>F102/F97</f>
        <v>0.608283160007298</v>
      </c>
    </row>
    <row r="109" ht="16.5" spans="1:6">
      <c r="A109" s="66" t="s">
        <v>90</v>
      </c>
      <c r="B109" s="68">
        <f>B101/B97</f>
        <v>0.461510920157537</v>
      </c>
      <c r="C109" s="68">
        <f>C101/C97</f>
        <v>0.390841320553781</v>
      </c>
      <c r="D109" s="68">
        <f>D101/D97</f>
        <v>0.128664495114007</v>
      </c>
      <c r="E109" s="68">
        <f>E101/E97</f>
        <v>0.319478908188586</v>
      </c>
      <c r="F109" s="68">
        <f>F101/F97</f>
        <v>0.0797299762817004</v>
      </c>
    </row>
  </sheetData>
  <mergeCells count="52">
    <mergeCell ref="C1:E1"/>
    <mergeCell ref="C10:E10"/>
    <mergeCell ref="A12:G12"/>
    <mergeCell ref="A13:G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C29:E29"/>
    <mergeCell ref="C52:E52"/>
    <mergeCell ref="C69:E69"/>
    <mergeCell ref="A71:B71"/>
    <mergeCell ref="A72:B72"/>
    <mergeCell ref="A73:B73"/>
    <mergeCell ref="A74:B74"/>
    <mergeCell ref="A75:B75"/>
    <mergeCell ref="B79:C79"/>
    <mergeCell ref="D79:E79"/>
    <mergeCell ref="F79:G79"/>
    <mergeCell ref="J79:K79"/>
    <mergeCell ref="A1:A2"/>
    <mergeCell ref="A29:A30"/>
    <mergeCell ref="A52:A53"/>
    <mergeCell ref="A79:A80"/>
    <mergeCell ref="B1:B2"/>
    <mergeCell ref="B29:B30"/>
    <mergeCell ref="B52:B53"/>
    <mergeCell ref="F1:F2"/>
    <mergeCell ref="F10:F11"/>
    <mergeCell ref="F29:F30"/>
    <mergeCell ref="F52:F53"/>
    <mergeCell ref="F69:F70"/>
    <mergeCell ref="G1:G2"/>
    <mergeCell ref="G10:G11"/>
    <mergeCell ref="G29:G30"/>
    <mergeCell ref="G52:G53"/>
    <mergeCell ref="G69:G70"/>
    <mergeCell ref="H10:H11"/>
    <mergeCell ref="H29:H30"/>
    <mergeCell ref="A10:B11"/>
    <mergeCell ref="A69:B70"/>
    <mergeCell ref="A87:F90"/>
    <mergeCell ref="A91:F9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rgb="FF92D050"/>
  </sheetPr>
  <dimension ref="A1:AR44"/>
  <sheetViews>
    <sheetView zoomScale="130" zoomScaleNormal="130" workbookViewId="0">
      <pane xSplit="1" ySplit="5" topLeftCell="B6" activePane="bottomRight" state="frozen"/>
      <selection/>
      <selection pane="topRight"/>
      <selection pane="bottomLeft"/>
      <selection pane="bottomRight" activeCell="B29" sqref="B29"/>
    </sheetView>
  </sheetViews>
  <sheetFormatPr defaultColWidth="9.14285714285714" defaultRowHeight="12.75"/>
  <cols>
    <col min="1" max="1" width="45.8571428571429" customWidth="1"/>
    <col min="2" max="3" width="14"/>
    <col min="4" max="4" width="10.2857142857143"/>
    <col min="5" max="5" width="14"/>
    <col min="6" max="11" width="11.7142857142857"/>
    <col min="12" max="13" width="13.4285714285714"/>
    <col min="14" max="14" width="10.2857142857143"/>
    <col min="15" max="15" width="12.8571428571429"/>
    <col min="16" max="17" width="10.2857142857143"/>
    <col min="18" max="20" width="11.4285714285714"/>
    <col min="21" max="22" width="10.2857142857143"/>
    <col min="23" max="23" width="12.8571428571429"/>
    <col min="24" max="25" width="14"/>
    <col min="26" max="26" width="10.2857142857143"/>
    <col min="27" max="27" width="10.5714285714286"/>
    <col min="28" max="28" width="12.8571428571429"/>
    <col min="29" max="29" width="11.7142857142857"/>
    <col min="30" max="32" width="12.8571428571429"/>
    <col min="33" max="33" width="11.7142857142857"/>
    <col min="34" max="34" width="14"/>
    <col min="35" max="35" width="11.7142857142857"/>
    <col min="36" max="36" width="14"/>
    <col min="37" max="39" width="12.8571428571429"/>
    <col min="40" max="40" width="10.5714285714286"/>
    <col min="41" max="42" width="12.8571428571429"/>
    <col min="43" max="44" width="10.5714285714286"/>
  </cols>
  <sheetData>
    <row r="1" spans="1:42">
      <c r="B1" s="39" t="s">
        <v>112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 t="s">
        <v>113</v>
      </c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 t="s">
        <v>114</v>
      </c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</row>
    <row r="2" spans="1:42">
      <c r="B2" s="40">
        <v>46204</v>
      </c>
      <c r="C2" s="40">
        <v>46235</v>
      </c>
      <c r="D2" s="40">
        <v>46266</v>
      </c>
      <c r="E2" s="41">
        <v>46296</v>
      </c>
      <c r="F2" s="41">
        <v>46327</v>
      </c>
      <c r="G2" s="41">
        <v>46357</v>
      </c>
      <c r="H2" s="41">
        <v>46388</v>
      </c>
      <c r="I2" s="41">
        <v>46419</v>
      </c>
      <c r="J2" s="41">
        <v>46447</v>
      </c>
      <c r="K2" s="41">
        <v>46478</v>
      </c>
      <c r="L2" s="41">
        <v>46508</v>
      </c>
      <c r="M2" s="41">
        <v>46539</v>
      </c>
      <c r="N2" s="41" t="s">
        <v>5</v>
      </c>
      <c r="O2" s="41">
        <v>46569</v>
      </c>
      <c r="P2" s="41">
        <v>46600</v>
      </c>
      <c r="Q2" s="41">
        <v>46631</v>
      </c>
      <c r="R2" s="41">
        <v>46661</v>
      </c>
      <c r="S2" s="41">
        <v>46692</v>
      </c>
      <c r="T2" s="41">
        <v>46722</v>
      </c>
      <c r="U2" s="41">
        <v>46753</v>
      </c>
      <c r="V2" s="41">
        <v>46784</v>
      </c>
      <c r="W2" s="41">
        <v>46813</v>
      </c>
      <c r="X2" s="41">
        <v>46844</v>
      </c>
      <c r="Y2" s="41">
        <v>46874</v>
      </c>
      <c r="Z2" s="41">
        <v>46905</v>
      </c>
      <c r="AA2" s="41" t="s">
        <v>5</v>
      </c>
      <c r="AB2" s="41">
        <v>46935</v>
      </c>
      <c r="AC2" s="41">
        <v>46966</v>
      </c>
      <c r="AD2" s="41">
        <v>46997</v>
      </c>
      <c r="AE2" s="41">
        <v>47027</v>
      </c>
      <c r="AF2" s="41">
        <v>47058</v>
      </c>
      <c r="AG2" s="41">
        <v>47088</v>
      </c>
      <c r="AH2" s="41">
        <v>47119</v>
      </c>
      <c r="AI2" s="41">
        <v>47150</v>
      </c>
      <c r="AJ2" s="41">
        <v>47178</v>
      </c>
      <c r="AK2" s="41">
        <v>47209</v>
      </c>
      <c r="AL2" s="41">
        <v>47239</v>
      </c>
      <c r="AM2" s="41">
        <v>47270</v>
      </c>
      <c r="AN2" t="s">
        <v>5</v>
      </c>
      <c r="AO2" t="s">
        <v>115</v>
      </c>
    </row>
    <row r="3" s="37" customFormat="1" spans="1:42">
      <c r="A3" s="37" t="s">
        <v>116</v>
      </c>
      <c r="B3" s="42">
        <f t="shared" ref="B3:M3" si="0">B4+B5</f>
        <v>1000</v>
      </c>
      <c r="C3" s="42">
        <f t="shared" si="0"/>
        <v>0</v>
      </c>
      <c r="D3" s="42">
        <f t="shared" si="0"/>
        <v>0</v>
      </c>
      <c r="E3" s="42">
        <f t="shared" si="0"/>
        <v>16.9811320754717</v>
      </c>
      <c r="F3" s="42">
        <f t="shared" si="0"/>
        <v>33.9622641509434</v>
      </c>
      <c r="G3" s="42">
        <f t="shared" si="0"/>
        <v>67.9245283018868</v>
      </c>
      <c r="H3" s="42">
        <f t="shared" si="0"/>
        <v>90.5660377358491</v>
      </c>
      <c r="I3" s="42">
        <f t="shared" si="0"/>
        <v>113.207547169811</v>
      </c>
      <c r="J3" s="42">
        <f t="shared" si="0"/>
        <v>130.188679245283</v>
      </c>
      <c r="K3" s="42">
        <f t="shared" si="0"/>
        <v>147.169811320755</v>
      </c>
      <c r="L3" s="42">
        <f t="shared" si="0"/>
        <v>164.150943396226</v>
      </c>
      <c r="M3" s="42">
        <f t="shared" si="0"/>
        <v>181.132075471698</v>
      </c>
      <c r="N3" s="42">
        <f>SUM(B3:M3)</f>
        <v>1945.28301886792</v>
      </c>
      <c r="O3" s="42">
        <f>O4+O5</f>
        <v>1780.18867924528</v>
      </c>
      <c r="P3" s="42">
        <f t="shared" ref="P3:Z3" si="1">P4+P5</f>
        <v>288.679245283019</v>
      </c>
      <c r="Q3" s="42">
        <f t="shared" si="1"/>
        <v>297.169811320755</v>
      </c>
      <c r="R3" s="42">
        <f t="shared" si="1"/>
        <v>305.660377358491</v>
      </c>
      <c r="S3" s="42">
        <f t="shared" si="1"/>
        <v>314.150943396226</v>
      </c>
      <c r="T3" s="42">
        <f t="shared" si="1"/>
        <v>322.641509433962</v>
      </c>
      <c r="U3" s="42">
        <f t="shared" si="1"/>
        <v>331.132075471698</v>
      </c>
      <c r="V3" s="42">
        <f t="shared" si="1"/>
        <v>339.622641509434</v>
      </c>
      <c r="W3" s="42">
        <f t="shared" si="1"/>
        <v>348.11320754717</v>
      </c>
      <c r="X3" s="42">
        <f t="shared" si="1"/>
        <v>356.603773584906</v>
      </c>
      <c r="Y3" s="42">
        <f t="shared" si="1"/>
        <v>365.094339622641</v>
      </c>
      <c r="Z3" s="42">
        <f t="shared" si="1"/>
        <v>373.584905660377</v>
      </c>
      <c r="AA3" s="42">
        <f>SUM(O3:Z3)</f>
        <v>5422.64150943396</v>
      </c>
      <c r="AB3" s="42">
        <f t="shared" ref="AB3:AN3" si="2">AB4+AB5</f>
        <v>1543.39622641509</v>
      </c>
      <c r="AC3" s="42">
        <f t="shared" si="2"/>
        <v>701.88679245283</v>
      </c>
      <c r="AD3" s="42">
        <f t="shared" si="2"/>
        <v>860.377358490566</v>
      </c>
      <c r="AE3" s="42">
        <f t="shared" si="2"/>
        <v>1018.8679245283</v>
      </c>
      <c r="AF3" s="42">
        <f t="shared" si="2"/>
        <v>1245.28301886792</v>
      </c>
      <c r="AG3" s="42">
        <f t="shared" si="2"/>
        <v>1471.69811320755</v>
      </c>
      <c r="AH3" s="42">
        <f t="shared" si="2"/>
        <v>1698.11320754717</v>
      </c>
      <c r="AI3" s="42">
        <f t="shared" si="2"/>
        <v>1924.52830188679</v>
      </c>
      <c r="AJ3" s="42">
        <f t="shared" si="2"/>
        <v>2150.94339622642</v>
      </c>
      <c r="AK3" s="42">
        <f t="shared" si="2"/>
        <v>2377.35849056604</v>
      </c>
      <c r="AL3" s="42">
        <f t="shared" si="2"/>
        <v>2716.98113207547</v>
      </c>
      <c r="AM3" s="42">
        <f t="shared" si="2"/>
        <v>3421.1320754717</v>
      </c>
      <c r="AN3" s="42">
        <f>SUM(AB3:AM3)</f>
        <v>21130.5660377358</v>
      </c>
      <c r="AO3" s="42">
        <f>N3+AA3+AN3</f>
        <v>28498.4905660377</v>
      </c>
    </row>
    <row r="4" s="37" customFormat="1" spans="1:42">
      <c r="A4" s="37" t="s">
        <v>117</v>
      </c>
      <c r="B4" s="42"/>
      <c r="C4" s="42"/>
      <c r="D4" s="42"/>
      <c r="E4" s="42">
        <f>E36*E37*30/1000/1.06</f>
        <v>16.9811320754717</v>
      </c>
      <c r="F4" s="42">
        <f t="shared" ref="F4:M4" si="3">F36*F37*30/1000/1.06</f>
        <v>33.9622641509434</v>
      </c>
      <c r="G4" s="42">
        <f t="shared" si="3"/>
        <v>67.9245283018868</v>
      </c>
      <c r="H4" s="42">
        <f t="shared" si="3"/>
        <v>90.5660377358491</v>
      </c>
      <c r="I4" s="42">
        <f t="shared" si="3"/>
        <v>113.207547169811</v>
      </c>
      <c r="J4" s="42">
        <f t="shared" si="3"/>
        <v>130.188679245283</v>
      </c>
      <c r="K4" s="42">
        <f t="shared" si="3"/>
        <v>147.169811320755</v>
      </c>
      <c r="L4" s="42">
        <f t="shared" si="3"/>
        <v>164.150943396226</v>
      </c>
      <c r="M4" s="42">
        <f t="shared" si="3"/>
        <v>181.132075471698</v>
      </c>
      <c r="N4" s="42">
        <f>SUM(B4:M4)</f>
        <v>945.283018867925</v>
      </c>
      <c r="O4" s="42">
        <f>O36*O37*30/1000/1.06</f>
        <v>280.188679245283</v>
      </c>
      <c r="P4" s="42">
        <f t="shared" ref="P4:Z4" si="4">P36*P37*30/1000/1.06</f>
        <v>288.679245283019</v>
      </c>
      <c r="Q4" s="42">
        <f t="shared" si="4"/>
        <v>297.169811320755</v>
      </c>
      <c r="R4" s="42">
        <f t="shared" si="4"/>
        <v>305.660377358491</v>
      </c>
      <c r="S4" s="42">
        <f t="shared" si="4"/>
        <v>314.150943396226</v>
      </c>
      <c r="T4" s="42">
        <f t="shared" si="4"/>
        <v>322.641509433962</v>
      </c>
      <c r="U4" s="42">
        <f t="shared" si="4"/>
        <v>331.132075471698</v>
      </c>
      <c r="V4" s="42">
        <f t="shared" si="4"/>
        <v>339.622641509434</v>
      </c>
      <c r="W4" s="42">
        <f t="shared" si="4"/>
        <v>348.11320754717</v>
      </c>
      <c r="X4" s="42">
        <f t="shared" si="4"/>
        <v>356.603773584906</v>
      </c>
      <c r="Y4" s="42">
        <f t="shared" si="4"/>
        <v>365.094339622641</v>
      </c>
      <c r="Z4" s="42">
        <f t="shared" si="4"/>
        <v>373.584905660377</v>
      </c>
      <c r="AA4" s="42">
        <f>SUM(O4:Z4)</f>
        <v>3922.64150943396</v>
      </c>
      <c r="AB4" s="42">
        <f>AB36*AB37*30/1000/1.06</f>
        <v>543.396226415094</v>
      </c>
      <c r="AC4" s="42">
        <f t="shared" ref="AC4:AM4" si="5">AC36*AC37*30/1000/1.06</f>
        <v>701.88679245283</v>
      </c>
      <c r="AD4" s="42">
        <f t="shared" si="5"/>
        <v>860.377358490566</v>
      </c>
      <c r="AE4" s="42">
        <f t="shared" si="5"/>
        <v>1018.8679245283</v>
      </c>
      <c r="AF4" s="42">
        <f t="shared" si="5"/>
        <v>1245.28301886792</v>
      </c>
      <c r="AG4" s="42">
        <f t="shared" si="5"/>
        <v>1471.69811320755</v>
      </c>
      <c r="AH4" s="42">
        <f t="shared" si="5"/>
        <v>1698.11320754717</v>
      </c>
      <c r="AI4" s="42">
        <f t="shared" si="5"/>
        <v>1924.52830188679</v>
      </c>
      <c r="AJ4" s="42">
        <f t="shared" si="5"/>
        <v>2150.94339622642</v>
      </c>
      <c r="AK4" s="42">
        <f t="shared" si="5"/>
        <v>2377.35849056604</v>
      </c>
      <c r="AL4" s="42">
        <f t="shared" si="5"/>
        <v>2716.98113207547</v>
      </c>
      <c r="AM4" s="42">
        <f t="shared" si="5"/>
        <v>3421.1320754717</v>
      </c>
      <c r="AN4" s="42">
        <f>SUM(AB4:AM4)</f>
        <v>20130.5660377358</v>
      </c>
      <c r="AO4" s="42">
        <f>N4+AA4+AN4</f>
        <v>24998.4905660377</v>
      </c>
      <c r="AP4" s="42">
        <f>AO4*1.06</f>
        <v>26498.4</v>
      </c>
    </row>
    <row r="5" s="37" customFormat="1" spans="1:42">
      <c r="A5" s="37" t="s">
        <v>118</v>
      </c>
      <c r="B5" s="42">
        <v>1000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>
        <f t="shared" ref="N5:N28" si="6">SUM(B5:M5)</f>
        <v>1000</v>
      </c>
      <c r="O5" s="42">
        <v>1500</v>
      </c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>
        <f t="shared" ref="AA5:AA28" si="7">SUM(O5:Z5)</f>
        <v>1500</v>
      </c>
      <c r="AB5" s="42">
        <v>1000</v>
      </c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>
        <f t="shared" ref="AN5:AN30" si="8">SUM(AB5:AM5)</f>
        <v>1000</v>
      </c>
      <c r="AO5" s="42">
        <f t="shared" ref="AO5:AO30" si="9">N5+AA5+AN5</f>
        <v>3500</v>
      </c>
    </row>
    <row r="6" s="37" customFormat="1" spans="1:42">
      <c r="A6" s="37" t="s">
        <v>119</v>
      </c>
      <c r="B6" s="42">
        <f>SUM(B7,B12,B17,B19,B22,B27)</f>
        <v>58.8839218740984</v>
      </c>
      <c r="C6" s="42">
        <f t="shared" ref="B6:M6" si="10">SUM(C7,C12,C17,C19,C22,C27)</f>
        <v>58.8839218740984</v>
      </c>
      <c r="D6" s="42">
        <f t="shared" si="10"/>
        <v>60.6527897986267</v>
      </c>
      <c r="E6" s="42">
        <f t="shared" si="10"/>
        <v>73.4876954590041</v>
      </c>
      <c r="F6" s="42">
        <f t="shared" si="10"/>
        <v>88.0914690439097</v>
      </c>
      <c r="G6" s="42">
        <f t="shared" si="10"/>
        <v>117.299016213721</v>
      </c>
      <c r="H6" s="42">
        <f t="shared" si="10"/>
        <v>137.100607293289</v>
      </c>
      <c r="I6" s="42">
        <f t="shared" si="10"/>
        <v>156.572305406497</v>
      </c>
      <c r="J6" s="42">
        <f t="shared" si="10"/>
        <v>173.53456955744</v>
      </c>
      <c r="K6" s="42">
        <f t="shared" si="10"/>
        <v>208.071519242975</v>
      </c>
      <c r="L6" s="42">
        <f t="shared" si="10"/>
        <v>222.675292827881</v>
      </c>
      <c r="M6" s="42">
        <f t="shared" si="10"/>
        <v>237.279066412786</v>
      </c>
      <c r="N6" s="42">
        <f t="shared" si="6"/>
        <v>1592.53217500433</v>
      </c>
      <c r="O6" s="42">
        <f t="shared" ref="O6:Z6" si="11">SUM(O7,O12,O17,O19,O22,O27)</f>
        <v>331.34279975189</v>
      </c>
      <c r="P6" s="42">
        <f t="shared" si="11"/>
        <v>338.72959220472</v>
      </c>
      <c r="Q6" s="42">
        <f t="shared" si="11"/>
        <v>346.11638465755</v>
      </c>
      <c r="R6" s="42">
        <f t="shared" si="11"/>
        <v>353.50317711038</v>
      </c>
      <c r="S6" s="42">
        <f t="shared" si="11"/>
        <v>360.88996956321</v>
      </c>
      <c r="T6" s="42">
        <f t="shared" si="11"/>
        <v>368.276762016041</v>
      </c>
      <c r="U6" s="42">
        <f t="shared" si="11"/>
        <v>375.663554468871</v>
      </c>
      <c r="V6" s="42">
        <f t="shared" si="11"/>
        <v>383.050346921701</v>
      </c>
      <c r="W6" s="42">
        <f t="shared" si="11"/>
        <v>390.437139374531</v>
      </c>
      <c r="X6" s="42">
        <f t="shared" si="11"/>
        <v>448.963868934279</v>
      </c>
      <c r="Y6" s="42">
        <f t="shared" si="11"/>
        <v>451.044057613525</v>
      </c>
      <c r="Z6" s="42">
        <f t="shared" si="11"/>
        <v>458.430850066355</v>
      </c>
      <c r="AA6" s="42">
        <f t="shared" si="7"/>
        <v>4606.44850268305</v>
      </c>
      <c r="AB6" s="42">
        <f t="shared" ref="AB6:AN6" si="12">SUM(AB7,AB12,AB17,AB19,AB22,AB27)</f>
        <v>688.648188938896</v>
      </c>
      <c r="AC6" s="42">
        <f t="shared" si="12"/>
        <v>784.082151203047</v>
      </c>
      <c r="AD6" s="42">
        <f t="shared" si="12"/>
        <v>921.968943655877</v>
      </c>
      <c r="AE6" s="42">
        <f t="shared" si="12"/>
        <v>1059.85573610871</v>
      </c>
      <c r="AF6" s="42">
        <f t="shared" si="12"/>
        <v>1256.83686818418</v>
      </c>
      <c r="AG6" s="42">
        <f t="shared" si="12"/>
        <v>1524.57271724078</v>
      </c>
      <c r="AH6" s="42">
        <f t="shared" si="12"/>
        <v>1650.79913233512</v>
      </c>
      <c r="AI6" s="42">
        <f t="shared" si="12"/>
        <v>1847.78026441059</v>
      </c>
      <c r="AJ6" s="42">
        <f t="shared" si="12"/>
        <v>2044.76139648607</v>
      </c>
      <c r="AK6" s="42">
        <f t="shared" si="12"/>
        <v>2308.29724554267</v>
      </c>
      <c r="AL6" s="42">
        <f t="shared" si="12"/>
        <v>2596.76422667474</v>
      </c>
      <c r="AM6" s="42">
        <f t="shared" si="12"/>
        <v>3237.67743422191</v>
      </c>
      <c r="AN6" s="42">
        <f t="shared" si="8"/>
        <v>19922.0443050026</v>
      </c>
      <c r="AO6" s="42">
        <f t="shared" si="9"/>
        <v>26121.02498269</v>
      </c>
    </row>
    <row r="7" s="37" customFormat="1" spans="1:42">
      <c r="A7" s="37" t="s">
        <v>120</v>
      </c>
      <c r="B7" s="42">
        <f t="shared" ref="B7:M7" si="13">SUM(B8:B11)</f>
        <v>44.5833333333333</v>
      </c>
      <c r="C7" s="42">
        <f t="shared" si="13"/>
        <v>44.5833333333333</v>
      </c>
      <c r="D7" s="42">
        <f t="shared" si="13"/>
        <v>44.5833333333333</v>
      </c>
      <c r="E7" s="42">
        <f t="shared" si="13"/>
        <v>44.5833333333333</v>
      </c>
      <c r="F7" s="42">
        <f t="shared" si="13"/>
        <v>44.5833333333333</v>
      </c>
      <c r="G7" s="42">
        <f t="shared" si="13"/>
        <v>44.5833333333333</v>
      </c>
      <c r="H7" s="42">
        <f t="shared" si="13"/>
        <v>44.5833333333333</v>
      </c>
      <c r="I7" s="42">
        <f t="shared" si="13"/>
        <v>44.5833333333333</v>
      </c>
      <c r="J7" s="42">
        <f t="shared" si="13"/>
        <v>44.5833333333333</v>
      </c>
      <c r="K7" s="42">
        <f t="shared" si="13"/>
        <v>66.25</v>
      </c>
      <c r="L7" s="42">
        <f t="shared" si="13"/>
        <v>66.25</v>
      </c>
      <c r="M7" s="42">
        <f t="shared" si="13"/>
        <v>66.25</v>
      </c>
      <c r="N7" s="42">
        <f t="shared" si="6"/>
        <v>600</v>
      </c>
      <c r="O7" s="42">
        <f t="shared" ref="O7:Z7" si="14">SUM(O8:O11)</f>
        <v>66.25</v>
      </c>
      <c r="P7" s="42">
        <f t="shared" si="14"/>
        <v>66.25</v>
      </c>
      <c r="Q7" s="42">
        <f t="shared" si="14"/>
        <v>66.25</v>
      </c>
      <c r="R7" s="42">
        <f t="shared" si="14"/>
        <v>66.25</v>
      </c>
      <c r="S7" s="42">
        <f t="shared" si="14"/>
        <v>66.25</v>
      </c>
      <c r="T7" s="42">
        <f t="shared" si="14"/>
        <v>66.2500000000001</v>
      </c>
      <c r="U7" s="42">
        <f t="shared" si="14"/>
        <v>66.25</v>
      </c>
      <c r="V7" s="42">
        <f t="shared" si="14"/>
        <v>66.25</v>
      </c>
      <c r="W7" s="42">
        <f t="shared" si="14"/>
        <v>66.25</v>
      </c>
      <c r="X7" s="42">
        <f t="shared" si="14"/>
        <v>110.833333333333</v>
      </c>
      <c r="Y7" s="42">
        <f t="shared" si="14"/>
        <v>110.833333333333</v>
      </c>
      <c r="Z7" s="42">
        <f t="shared" si="14"/>
        <v>110.833333333333</v>
      </c>
      <c r="AA7" s="42">
        <f t="shared" si="7"/>
        <v>928.749999999999</v>
      </c>
      <c r="AB7" s="42">
        <f t="shared" ref="AB7:AN7" si="15">SUM(AB8:AB11)</f>
        <v>119.7</v>
      </c>
      <c r="AC7" s="42">
        <f t="shared" si="15"/>
        <v>119.7</v>
      </c>
      <c r="AD7" s="42">
        <f t="shared" si="15"/>
        <v>119.7</v>
      </c>
      <c r="AE7" s="42">
        <f t="shared" si="15"/>
        <v>119.7</v>
      </c>
      <c r="AF7" s="42">
        <f t="shared" si="15"/>
        <v>119.7</v>
      </c>
      <c r="AG7" s="42">
        <f t="shared" si="15"/>
        <v>119.7</v>
      </c>
      <c r="AH7" s="42">
        <f t="shared" si="15"/>
        <v>119.7</v>
      </c>
      <c r="AI7" s="42">
        <f t="shared" si="15"/>
        <v>119.7</v>
      </c>
      <c r="AJ7" s="42">
        <f t="shared" si="15"/>
        <v>119.7</v>
      </c>
      <c r="AK7" s="42">
        <f t="shared" si="15"/>
        <v>177.75</v>
      </c>
      <c r="AL7" s="42">
        <f t="shared" si="15"/>
        <v>177.75</v>
      </c>
      <c r="AM7" s="42">
        <f t="shared" si="15"/>
        <v>177.75</v>
      </c>
      <c r="AN7" s="42">
        <f t="shared" si="8"/>
        <v>1610.55</v>
      </c>
      <c r="AO7" s="42">
        <f t="shared" si="9"/>
        <v>3139.3</v>
      </c>
    </row>
    <row r="8" spans="1:42">
      <c r="A8" t="s">
        <v>121</v>
      </c>
      <c r="B8" s="43">
        <f>项目预算表!$E$71*项目预算表!$I$25/12</f>
        <v>9.16666666666667</v>
      </c>
      <c r="C8" s="43">
        <f>项目预算表!$E$71*项目预算表!$I$25/12</f>
        <v>9.16666666666667</v>
      </c>
      <c r="D8" s="43">
        <f>项目预算表!$E$71*项目预算表!$I$25/12</f>
        <v>9.16666666666667</v>
      </c>
      <c r="E8" s="43">
        <f>项目预算表!$E$71*项目预算表!$I$25/12</f>
        <v>9.16666666666667</v>
      </c>
      <c r="F8" s="43">
        <f>项目预算表!$E$71*项目预算表!$I$25/12</f>
        <v>9.16666666666667</v>
      </c>
      <c r="G8" s="43">
        <f>项目预算表!$E$71*项目预算表!$I$25/12</f>
        <v>9.16666666666667</v>
      </c>
      <c r="H8" s="43">
        <f>项目预算表!$E$71*项目预算表!$I$25/12</f>
        <v>9.16666666666667</v>
      </c>
      <c r="I8" s="43">
        <f>项目预算表!$E$71*项目预算表!$I$25/12</f>
        <v>9.16666666666667</v>
      </c>
      <c r="J8" s="43">
        <f>项目预算表!$E$71*项目预算表!$I$25/12</f>
        <v>9.16666666666667</v>
      </c>
      <c r="K8" s="43">
        <f>项目预算表!$F$71*项目预算表!$I$25/12</f>
        <v>13.75</v>
      </c>
      <c r="L8" s="43">
        <f>项目预算表!$F$71*项目预算表!$I$25/12</f>
        <v>13.75</v>
      </c>
      <c r="M8" s="43">
        <f>项目预算表!$F$71*项目预算表!$I$25/12</f>
        <v>13.75</v>
      </c>
      <c r="N8" s="43">
        <f t="shared" si="6"/>
        <v>123.75</v>
      </c>
      <c r="O8" s="43">
        <f>项目预算表!$F$71*项目预算表!$I$25/12</f>
        <v>13.75</v>
      </c>
      <c r="P8" s="43">
        <f>项目预算表!$F$71*项目预算表!$I$25/12</f>
        <v>13.75</v>
      </c>
      <c r="Q8" s="43">
        <f>项目预算表!$F$71*项目预算表!$I$25/12</f>
        <v>13.75</v>
      </c>
      <c r="R8" s="43">
        <f>项目预算表!$F$71*项目预算表!$I$25/12</f>
        <v>13.75</v>
      </c>
      <c r="S8" s="43">
        <f>项目预算表!$F$71*项目预算表!$I$25/12</f>
        <v>13.75</v>
      </c>
      <c r="T8" s="43">
        <f>项目预算表!$F$71*项目预算表!$I$25/12</f>
        <v>13.75</v>
      </c>
      <c r="U8" s="43">
        <f>项目预算表!$F$71*项目预算表!$I$25/12</f>
        <v>13.75</v>
      </c>
      <c r="V8" s="43">
        <f>项目预算表!$F$71*项目预算表!$I$25/12</f>
        <v>13.75</v>
      </c>
      <c r="W8" s="43">
        <f>项目预算表!$F$71*项目预算表!$I$25/12</f>
        <v>13.75</v>
      </c>
      <c r="X8" s="43">
        <f>项目预算表!$G$71*项目预算表!$I$25/12</f>
        <v>13.75</v>
      </c>
      <c r="Y8" s="43">
        <f>项目预算表!$G$71*项目预算表!$I$25/12</f>
        <v>13.75</v>
      </c>
      <c r="Z8" s="43">
        <f>项目预算表!$G$71*项目预算表!$I$25/12</f>
        <v>13.75</v>
      </c>
      <c r="AA8" s="43">
        <f t="shared" si="7"/>
        <v>165</v>
      </c>
      <c r="AB8" s="43">
        <f>项目预算表!$G$71*项目预算表!$I$25/12*1.08</f>
        <v>14.85</v>
      </c>
      <c r="AC8" s="43">
        <f>项目预算表!$G$71*项目预算表!$I$25/12*1.08</f>
        <v>14.85</v>
      </c>
      <c r="AD8" s="43">
        <f>项目预算表!$G$71*项目预算表!$I$25/12*1.08</f>
        <v>14.85</v>
      </c>
      <c r="AE8" s="43">
        <f>项目预算表!$G$71*项目预算表!$I$25/12*1.08</f>
        <v>14.85</v>
      </c>
      <c r="AF8" s="43">
        <f>项目预算表!$G$71*项目预算表!$I$25/12*1.08</f>
        <v>14.85</v>
      </c>
      <c r="AG8" s="43">
        <f>项目预算表!$G$71*项目预算表!$I$25/12*1.08</f>
        <v>14.85</v>
      </c>
      <c r="AH8" s="43">
        <f>项目预算表!$G$71*项目预算表!$I$25/12*1.08</f>
        <v>14.85</v>
      </c>
      <c r="AI8" s="43">
        <f>项目预算表!$G$71*项目预算表!$I$25/12*1.08</f>
        <v>14.85</v>
      </c>
      <c r="AJ8" s="43">
        <f>项目预算表!$G$71*项目预算表!$I$25/12*1.08</f>
        <v>14.85</v>
      </c>
      <c r="AK8" s="43">
        <f>项目预算表!$H$71*项目预算表!$I$25/12*1.08</f>
        <v>14.85</v>
      </c>
      <c r="AL8" s="43">
        <f>项目预算表!$H$71*项目预算表!$I$25/12*1.08</f>
        <v>14.85</v>
      </c>
      <c r="AM8" s="43">
        <f>项目预算表!$H$71*项目预算表!$I$25/12*1.08</f>
        <v>14.85</v>
      </c>
      <c r="AN8" s="43">
        <f t="shared" si="8"/>
        <v>178.2</v>
      </c>
      <c r="AO8" s="43">
        <f t="shared" si="9"/>
        <v>466.95</v>
      </c>
    </row>
    <row r="9" spans="1:42">
      <c r="A9" t="s">
        <v>73</v>
      </c>
      <c r="B9" s="43">
        <f>项目预算表!$E$72*项目预算表!$I$25/12</f>
        <v>22.9166666666667</v>
      </c>
      <c r="C9" s="43">
        <f>项目预算表!$E$72*项目预算表!$I$25/12</f>
        <v>22.9166666666667</v>
      </c>
      <c r="D9" s="43">
        <f>项目预算表!$E$72*项目预算表!$I$25/12</f>
        <v>22.9166666666667</v>
      </c>
      <c r="E9" s="43">
        <f>项目预算表!$E$72*项目预算表!$I$25/12</f>
        <v>22.9166666666667</v>
      </c>
      <c r="F9" s="43">
        <f>项目预算表!$E$72*项目预算表!$I$25/12</f>
        <v>22.9166666666667</v>
      </c>
      <c r="G9" s="43">
        <f>项目预算表!$E$72*项目预算表!$I$25/12</f>
        <v>22.9166666666667</v>
      </c>
      <c r="H9" s="43">
        <f>项目预算表!$E$72*项目预算表!$I$25/12</f>
        <v>22.9166666666667</v>
      </c>
      <c r="I9" s="43">
        <f>项目预算表!$E$72*项目预算表!$I$25/12</f>
        <v>22.9166666666667</v>
      </c>
      <c r="J9" s="43">
        <f>项目预算表!$E$72*项目预算表!$I$25/12</f>
        <v>22.9166666666667</v>
      </c>
      <c r="K9" s="43">
        <f>项目预算表!$F$72*项目预算表!$I$25/12</f>
        <v>22.9166666666667</v>
      </c>
      <c r="L9" s="43">
        <f>项目预算表!$F$72*项目预算表!$I$25/12</f>
        <v>22.9166666666667</v>
      </c>
      <c r="M9" s="43">
        <f>项目预算表!$F$72*项目预算表!$I$25/12</f>
        <v>22.9166666666667</v>
      </c>
      <c r="N9" s="43">
        <f t="shared" si="6"/>
        <v>275</v>
      </c>
      <c r="O9" s="43">
        <f>项目预算表!$F$72*项目预算表!$I$25/12</f>
        <v>22.9166666666667</v>
      </c>
      <c r="P9" s="43">
        <f>项目预算表!$F$72*项目预算表!$I$25/12</f>
        <v>22.9166666666667</v>
      </c>
      <c r="Q9" s="43">
        <f>项目预算表!$F$72*项目预算表!$I$25/12</f>
        <v>22.9166666666667</v>
      </c>
      <c r="R9" s="43">
        <f>项目预算表!$F$72*项目预算表!$I$25/12</f>
        <v>22.9166666666667</v>
      </c>
      <c r="S9" s="43">
        <f>项目预算表!$F$72*项目预算表!$I$25/12</f>
        <v>22.9166666666667</v>
      </c>
      <c r="T9" s="43">
        <f>项目预算表!$F$72*项目预算表!$I$25/12</f>
        <v>22.9166666666667</v>
      </c>
      <c r="U9" s="43">
        <f>项目预算表!$F$72*项目预算表!$I$25/12</f>
        <v>22.9166666666667</v>
      </c>
      <c r="V9" s="43">
        <f>项目预算表!$F$72*项目预算表!$I$25/12</f>
        <v>22.9166666666667</v>
      </c>
      <c r="W9" s="43">
        <f>项目预算表!$F$72*项目预算表!$I$25/12</f>
        <v>22.9166666666667</v>
      </c>
      <c r="X9" s="43">
        <f>项目预算表!$G$72*项目预算表!$I$25/12</f>
        <v>32.0833333333333</v>
      </c>
      <c r="Y9" s="43">
        <f>项目预算表!$G$72*项目预算表!$I$25/12</f>
        <v>32.0833333333333</v>
      </c>
      <c r="Z9" s="43">
        <f>项目预算表!$G$72*项目预算表!$I$25/12</f>
        <v>32.0833333333333</v>
      </c>
      <c r="AA9" s="43">
        <f t="shared" si="7"/>
        <v>302.5</v>
      </c>
      <c r="AB9" s="43">
        <f>项目预算表!$G$72*项目预算表!$I$25/12*1.08</f>
        <v>34.65</v>
      </c>
      <c r="AC9" s="43">
        <f>项目预算表!$G$72*项目预算表!$I$25/12*1.08</f>
        <v>34.65</v>
      </c>
      <c r="AD9" s="43">
        <f>项目预算表!$G$72*项目预算表!$I$25/12*1.08</f>
        <v>34.65</v>
      </c>
      <c r="AE9" s="43">
        <f>项目预算表!$G$72*项目预算表!$I$25/12*1.08</f>
        <v>34.65</v>
      </c>
      <c r="AF9" s="43">
        <f>项目预算表!$G$72*项目预算表!$I$25/12*1.08</f>
        <v>34.65</v>
      </c>
      <c r="AG9" s="43">
        <f>项目预算表!$G$72*项目预算表!$I$25/12*1.08</f>
        <v>34.65</v>
      </c>
      <c r="AH9" s="43">
        <f>项目预算表!$G$72*项目预算表!$I$25/12*1.08</f>
        <v>34.65</v>
      </c>
      <c r="AI9" s="43">
        <f>项目预算表!$G$72*项目预算表!$I$25/12*1.08</f>
        <v>34.65</v>
      </c>
      <c r="AJ9" s="43">
        <f>项目预算表!$G$72*项目预算表!$I$25/12*1.08</f>
        <v>34.65</v>
      </c>
      <c r="AK9" s="43">
        <f>项目预算表!$H$72*项目预算表!$I$25/12*1.08</f>
        <v>49.5</v>
      </c>
      <c r="AL9" s="43">
        <f>项目预算表!$H$72*项目预算表!$I$25/12*1.08</f>
        <v>49.5</v>
      </c>
      <c r="AM9" s="43">
        <f>项目预算表!$H$72*项目预算表!$I$25/12*1.08</f>
        <v>49.5</v>
      </c>
      <c r="AN9" s="43">
        <f t="shared" si="8"/>
        <v>460.35</v>
      </c>
      <c r="AO9" s="43">
        <f t="shared" si="9"/>
        <v>1037.85</v>
      </c>
    </row>
    <row r="10" spans="1:42">
      <c r="A10" t="s">
        <v>74</v>
      </c>
      <c r="B10" s="43">
        <f>项目预算表!$E$73*项目预算表!$I$25/12</f>
        <v>9.16666666666667</v>
      </c>
      <c r="C10" s="43">
        <f>项目预算表!$E$73*项目预算表!$I$25/12</f>
        <v>9.16666666666667</v>
      </c>
      <c r="D10" s="43">
        <f>项目预算表!$E$73*项目预算表!$I$25/12</f>
        <v>9.16666666666667</v>
      </c>
      <c r="E10" s="43">
        <f>项目预算表!$E$73*项目预算表!$I$25/12</f>
        <v>9.16666666666667</v>
      </c>
      <c r="F10" s="43">
        <f>项目预算表!$E$73*项目预算表!$I$25/12</f>
        <v>9.16666666666667</v>
      </c>
      <c r="G10" s="43">
        <f>项目预算表!$E$73*项目预算表!$I$25/12</f>
        <v>9.16666666666667</v>
      </c>
      <c r="H10" s="43">
        <f>项目预算表!$E$73*项目预算表!$I$25/12</f>
        <v>9.16666666666667</v>
      </c>
      <c r="I10" s="43">
        <f>项目预算表!$E$73*项目预算表!$I$25/12</f>
        <v>9.16666666666667</v>
      </c>
      <c r="J10" s="43">
        <f>项目预算表!$E$73*项目预算表!$I$25/12</f>
        <v>9.16666666666667</v>
      </c>
      <c r="K10" s="43">
        <f>项目预算表!$F$73*项目预算表!$I$25/12</f>
        <v>22.9166666666667</v>
      </c>
      <c r="L10" s="43">
        <f>项目预算表!$F$73*项目预算表!$I$25/12</f>
        <v>22.9166666666667</v>
      </c>
      <c r="M10" s="43">
        <f>项目预算表!$F$73*项目预算表!$I$25/12</f>
        <v>22.9166666666667</v>
      </c>
      <c r="N10" s="43">
        <f t="shared" si="6"/>
        <v>151.25</v>
      </c>
      <c r="O10" s="43">
        <f>项目预算表!$F$73*项目预算表!$I$25/12</f>
        <v>22.9166666666667</v>
      </c>
      <c r="P10" s="43">
        <f>项目预算表!$F$73*项目预算表!$I$25/12</f>
        <v>22.9166666666667</v>
      </c>
      <c r="Q10" s="43">
        <f>项目预算表!$F$73*项目预算表!$I$25/12</f>
        <v>22.9166666666667</v>
      </c>
      <c r="R10" s="43">
        <f>项目预算表!$F$73*项目预算表!$I$25/12</f>
        <v>22.9166666666667</v>
      </c>
      <c r="S10" s="43">
        <f>项目预算表!$F$73*项目预算表!$I$25/12</f>
        <v>22.9166666666667</v>
      </c>
      <c r="T10" s="43">
        <f>项目预算表!$F$73*项目预算表!$I$25/12</f>
        <v>22.9166666666667</v>
      </c>
      <c r="U10" s="43">
        <f>项目预算表!$F$73*项目预算表!$I$25/12</f>
        <v>22.9166666666667</v>
      </c>
      <c r="V10" s="43">
        <f>项目预算表!$F$73*项目预算表!$I$25/12</f>
        <v>22.9166666666667</v>
      </c>
      <c r="W10" s="43">
        <f>项目预算表!$F$73*项目预算表!$I$25/12</f>
        <v>22.9166666666667</v>
      </c>
      <c r="X10" s="43">
        <f>项目预算表!$G$73*项目预算表!$I$25/12</f>
        <v>55</v>
      </c>
      <c r="Y10" s="43">
        <f>项目预算表!$G$73*项目预算表!$I$25/12</f>
        <v>55</v>
      </c>
      <c r="Z10" s="43">
        <f>项目预算表!$G$73*项目预算表!$I$25/12</f>
        <v>55</v>
      </c>
      <c r="AA10" s="43">
        <f t="shared" si="7"/>
        <v>371.25</v>
      </c>
      <c r="AB10" s="43">
        <f>项目预算表!$G$73*项目预算表!$I$25/12*1.08</f>
        <v>59.4</v>
      </c>
      <c r="AC10" s="43">
        <f>项目预算表!$G$73*项目预算表!$I$25/12*1.08</f>
        <v>59.4</v>
      </c>
      <c r="AD10" s="43">
        <f>项目预算表!$G$73*项目预算表!$I$25/12*1.08</f>
        <v>59.4</v>
      </c>
      <c r="AE10" s="43">
        <f>项目预算表!$G$73*项目预算表!$I$25/12*1.08</f>
        <v>59.4</v>
      </c>
      <c r="AF10" s="43">
        <f>项目预算表!$G$73*项目预算表!$I$25/12*1.08</f>
        <v>59.4</v>
      </c>
      <c r="AG10" s="43">
        <f>项目预算表!$G$73*项目预算表!$I$25/12*1.08</f>
        <v>59.4</v>
      </c>
      <c r="AH10" s="43">
        <f>项目预算表!$G$73*项目预算表!$I$25/12*1.08</f>
        <v>59.4</v>
      </c>
      <c r="AI10" s="43">
        <f>项目预算表!$G$73*项目预算表!$I$25/12*1.08</f>
        <v>59.4</v>
      </c>
      <c r="AJ10" s="43">
        <f>项目预算表!$G$73*项目预算表!$I$25/12*1.08</f>
        <v>59.4</v>
      </c>
      <c r="AK10" s="43">
        <f>项目预算表!$H$73*项目预算表!$I$25/12*1.08</f>
        <v>99</v>
      </c>
      <c r="AL10" s="43">
        <f>项目预算表!$H$73*项目预算表!$I$25/12*1.08</f>
        <v>99</v>
      </c>
      <c r="AM10" s="43">
        <f>项目预算表!$H$73*项目预算表!$I$25/12*1.08</f>
        <v>99</v>
      </c>
      <c r="AN10" s="43">
        <f t="shared" si="8"/>
        <v>831.6</v>
      </c>
      <c r="AO10" s="43">
        <f t="shared" si="9"/>
        <v>1354.1</v>
      </c>
    </row>
    <row r="11" spans="1:42">
      <c r="A11" t="s">
        <v>122</v>
      </c>
      <c r="B11" s="43">
        <f>项目预算表!$E$74/12*项目预算表!$I$26</f>
        <v>3.33333333333333</v>
      </c>
      <c r="C11" s="43">
        <f>项目预算表!$E$74/12*项目预算表!$I$26</f>
        <v>3.33333333333333</v>
      </c>
      <c r="D11" s="43">
        <f>项目预算表!$E$74/12*项目预算表!$I$26</f>
        <v>3.33333333333333</v>
      </c>
      <c r="E11" s="43">
        <f>项目预算表!$E$74/12*项目预算表!$I$26</f>
        <v>3.33333333333333</v>
      </c>
      <c r="F11" s="43">
        <f>项目预算表!$E$74/12*项目预算表!$I$26</f>
        <v>3.33333333333333</v>
      </c>
      <c r="G11" s="43">
        <f>项目预算表!$E$74/12*项目预算表!$I$26</f>
        <v>3.33333333333333</v>
      </c>
      <c r="H11" s="43">
        <f>项目预算表!$E$74/12*项目预算表!$I$26</f>
        <v>3.33333333333333</v>
      </c>
      <c r="I11" s="43">
        <f>项目预算表!$E$74/12*项目预算表!$I$26</f>
        <v>3.33333333333333</v>
      </c>
      <c r="J11" s="43">
        <f>项目预算表!$E$74/12*项目预算表!$I$26</f>
        <v>3.33333333333333</v>
      </c>
      <c r="K11" s="43">
        <f>项目预算表!$F$74/12*项目预算表!$I$26</f>
        <v>6.66666666666667</v>
      </c>
      <c r="L11" s="43">
        <f>项目预算表!$F$74/12*项目预算表!$I$26</f>
        <v>6.66666666666667</v>
      </c>
      <c r="M11" s="43">
        <f>项目预算表!$F$74/12*项目预算表!$I$26</f>
        <v>6.66666666666667</v>
      </c>
      <c r="N11" s="43">
        <f t="shared" si="6"/>
        <v>50</v>
      </c>
      <c r="O11" s="43">
        <f>项目预算表!$F$74/12*项目预算表!$I$26</f>
        <v>6.66666666666667</v>
      </c>
      <c r="P11" s="43">
        <f>项目预算表!$F$74/12*项目预算表!$I$26</f>
        <v>6.66666666666667</v>
      </c>
      <c r="Q11" s="43">
        <f>项目预算表!$F$74/12*项目预算表!$I$26</f>
        <v>6.66666666666667</v>
      </c>
      <c r="R11" s="43">
        <f>项目预算表!$F$74/12*项目预算表!$I$26</f>
        <v>6.66666666666667</v>
      </c>
      <c r="S11" s="43">
        <f>项目预算表!$F$74/12*项目预算表!$I$26</f>
        <v>6.66666666666667</v>
      </c>
      <c r="T11" s="43">
        <f>项目预算表!$F$74/12*项目预算表!$I$26</f>
        <v>6.66666666666667</v>
      </c>
      <c r="U11" s="43">
        <f>项目预算表!$F$74/12*项目预算表!$I$26</f>
        <v>6.66666666666667</v>
      </c>
      <c r="V11" s="43">
        <f>项目预算表!$F$74/12*项目预算表!$I$26</f>
        <v>6.66666666666667</v>
      </c>
      <c r="W11" s="43">
        <f>项目预算表!$F$74/12*项目预算表!$I$26</f>
        <v>6.66666666666667</v>
      </c>
      <c r="X11" s="43">
        <f>项目预算表!$G$74/12*项目预算表!$I$26</f>
        <v>10</v>
      </c>
      <c r="Y11" s="43">
        <f>项目预算表!$G$74/12*项目预算表!$I$26</f>
        <v>10</v>
      </c>
      <c r="Z11" s="43">
        <f>项目预算表!$G$74/12*项目预算表!$I$26</f>
        <v>10</v>
      </c>
      <c r="AA11" s="43">
        <f t="shared" si="7"/>
        <v>90</v>
      </c>
      <c r="AB11" s="43">
        <f>项目预算表!$G$74/12*项目预算表!$I$26*1.08</f>
        <v>10.8</v>
      </c>
      <c r="AC11" s="43">
        <f>项目预算表!$G$74/12*项目预算表!$I$26*1.08</f>
        <v>10.8</v>
      </c>
      <c r="AD11" s="43">
        <f>项目预算表!$G$74/12*项目预算表!$I$26*1.08</f>
        <v>10.8</v>
      </c>
      <c r="AE11" s="43">
        <f>项目预算表!$G$74/12*项目预算表!$I$26*1.08</f>
        <v>10.8</v>
      </c>
      <c r="AF11" s="43">
        <f>项目预算表!$G$74/12*项目预算表!$I$26*1.08</f>
        <v>10.8</v>
      </c>
      <c r="AG11" s="43">
        <f>项目预算表!$G$74/12*项目预算表!$I$26*1.08</f>
        <v>10.8</v>
      </c>
      <c r="AH11" s="43">
        <f>项目预算表!$G$74/12*项目预算表!$I$26*1.08</f>
        <v>10.8</v>
      </c>
      <c r="AI11" s="43">
        <f>项目预算表!$G$74/12*项目预算表!$I$26*1.08</f>
        <v>10.8</v>
      </c>
      <c r="AJ11" s="43">
        <f>项目预算表!$G$74/12*项目预算表!$I$26*1.08</f>
        <v>10.8</v>
      </c>
      <c r="AK11" s="43">
        <f>项目预算表!$H$74/12*项目预算表!$I$26*1.08</f>
        <v>14.4</v>
      </c>
      <c r="AL11" s="43">
        <f>项目预算表!$H$74/12*项目预算表!$I$26*1.08</f>
        <v>14.4</v>
      </c>
      <c r="AM11" s="43">
        <f>项目预算表!$H$74/12*项目预算表!$I$26*1.08</f>
        <v>14.4</v>
      </c>
      <c r="AN11" s="43">
        <f t="shared" si="8"/>
        <v>140.4</v>
      </c>
      <c r="AO11" s="43">
        <f t="shared" si="9"/>
        <v>280.4</v>
      </c>
    </row>
    <row r="12" s="37" customFormat="1" spans="1:42">
      <c r="A12" s="37" t="s">
        <v>123</v>
      </c>
      <c r="B12" s="42">
        <f t="shared" ref="B12:M12" si="16">SUM(B13:B16)</f>
        <v>4.55974842767296</v>
      </c>
      <c r="C12" s="42">
        <f t="shared" si="16"/>
        <v>4.55974842767296</v>
      </c>
      <c r="D12" s="42">
        <f t="shared" si="16"/>
        <v>4.55974842767296</v>
      </c>
      <c r="E12" s="42">
        <f t="shared" si="16"/>
        <v>4.55974842767296</v>
      </c>
      <c r="F12" s="42">
        <f t="shared" si="16"/>
        <v>4.55974842767296</v>
      </c>
      <c r="G12" s="42">
        <f t="shared" si="16"/>
        <v>4.55974842767296</v>
      </c>
      <c r="H12" s="42">
        <f t="shared" si="16"/>
        <v>4.55974842767296</v>
      </c>
      <c r="I12" s="42">
        <f t="shared" si="16"/>
        <v>4.55974842767296</v>
      </c>
      <c r="J12" s="42">
        <f t="shared" si="16"/>
        <v>4.55974842767296</v>
      </c>
      <c r="K12" s="42">
        <f t="shared" si="16"/>
        <v>4.55974842767296</v>
      </c>
      <c r="L12" s="42">
        <f t="shared" si="16"/>
        <v>4.55974842767296</v>
      </c>
      <c r="M12" s="42">
        <f t="shared" si="16"/>
        <v>4.55974842767296</v>
      </c>
      <c r="N12" s="42">
        <f t="shared" si="6"/>
        <v>54.7169811320755</v>
      </c>
      <c r="O12" s="42">
        <f t="shared" ref="O12:AL12" si="17">SUM(O13:O16)</f>
        <v>17.7672955974843</v>
      </c>
      <c r="P12" s="42">
        <f t="shared" si="17"/>
        <v>17.7672955974843</v>
      </c>
      <c r="Q12" s="42">
        <f t="shared" si="17"/>
        <v>17.7672955974843</v>
      </c>
      <c r="R12" s="42">
        <f t="shared" si="17"/>
        <v>17.7672955974843</v>
      </c>
      <c r="S12" s="42">
        <f t="shared" si="17"/>
        <v>17.7672955974843</v>
      </c>
      <c r="T12" s="42">
        <f t="shared" si="17"/>
        <v>17.7672955974843</v>
      </c>
      <c r="U12" s="42">
        <f t="shared" si="17"/>
        <v>17.7672955974843</v>
      </c>
      <c r="V12" s="42">
        <f t="shared" si="17"/>
        <v>17.7672955974843</v>
      </c>
      <c r="W12" s="42">
        <f t="shared" si="17"/>
        <v>17.7672955974843</v>
      </c>
      <c r="X12" s="42">
        <f t="shared" si="17"/>
        <v>17.7672955974843</v>
      </c>
      <c r="Y12" s="42">
        <f t="shared" si="17"/>
        <v>17.7672955974843</v>
      </c>
      <c r="Z12" s="42">
        <f t="shared" si="17"/>
        <v>17.7672955974843</v>
      </c>
      <c r="AA12" s="42">
        <f t="shared" si="7"/>
        <v>213.207547169812</v>
      </c>
      <c r="AB12" s="42">
        <f t="shared" ref="AB12:AM12" si="18">SUM(AB13:AB16)</f>
        <v>45.5974842767296</v>
      </c>
      <c r="AC12" s="42">
        <f t="shared" si="18"/>
        <v>45.5974842767296</v>
      </c>
      <c r="AD12" s="42">
        <f t="shared" si="18"/>
        <v>45.5974842767296</v>
      </c>
      <c r="AE12" s="42">
        <f t="shared" si="18"/>
        <v>45.5974842767296</v>
      </c>
      <c r="AF12" s="42">
        <f t="shared" si="18"/>
        <v>45.5974842767296</v>
      </c>
      <c r="AG12" s="42">
        <f t="shared" si="18"/>
        <v>45.5974842767296</v>
      </c>
      <c r="AH12" s="42">
        <f t="shared" si="18"/>
        <v>45.5974842767296</v>
      </c>
      <c r="AI12" s="42">
        <f t="shared" si="18"/>
        <v>45.5974842767296</v>
      </c>
      <c r="AJ12" s="42">
        <f t="shared" si="18"/>
        <v>45.5974842767296</v>
      </c>
      <c r="AK12" s="42">
        <f t="shared" si="18"/>
        <v>45.5974842767296</v>
      </c>
      <c r="AL12" s="42">
        <f t="shared" si="18"/>
        <v>45.5974842767296</v>
      </c>
      <c r="AM12" s="42">
        <f t="shared" si="18"/>
        <v>45.5974842767296</v>
      </c>
      <c r="AN12" s="42">
        <f t="shared" si="8"/>
        <v>547.169811320755</v>
      </c>
      <c r="AO12" s="42">
        <f t="shared" si="9"/>
        <v>815.094339622642</v>
      </c>
    </row>
    <row r="13" spans="1:42">
      <c r="A13" t="s">
        <v>124</v>
      </c>
      <c r="B13" s="43">
        <f>年度运营成本测算明细!$D$11/3</f>
        <v>2.35849056603774</v>
      </c>
      <c r="C13" s="43">
        <f>年度运营成本测算明细!$D$11/3</f>
        <v>2.35849056603774</v>
      </c>
      <c r="D13" s="43">
        <f>年度运营成本测算明细!$D$11/3</f>
        <v>2.35849056603774</v>
      </c>
      <c r="E13" s="43">
        <f>年度运营成本测算明细!$E$11/9</f>
        <v>2.35849056603774</v>
      </c>
      <c r="F13" s="43">
        <f>年度运营成本测算明细!$E$11/9</f>
        <v>2.35849056603774</v>
      </c>
      <c r="G13" s="43">
        <f>年度运营成本测算明细!$E$11/9</f>
        <v>2.35849056603774</v>
      </c>
      <c r="H13" s="43">
        <f>年度运营成本测算明细!$E$11/9</f>
        <v>2.35849056603774</v>
      </c>
      <c r="I13" s="43">
        <f>年度运营成本测算明细!$E$11/9</f>
        <v>2.35849056603774</v>
      </c>
      <c r="J13" s="43">
        <f>年度运营成本测算明细!$E$11/9</f>
        <v>2.35849056603774</v>
      </c>
      <c r="K13" s="43">
        <f>年度运营成本测算明细!$E$11/9</f>
        <v>2.35849056603774</v>
      </c>
      <c r="L13" s="43">
        <f>年度运营成本测算明细!$E$11/9</f>
        <v>2.35849056603774</v>
      </c>
      <c r="M13" s="43">
        <f>年度运营成本测算明细!$E$11/9</f>
        <v>2.35849056603774</v>
      </c>
      <c r="N13" s="43">
        <f t="shared" si="6"/>
        <v>28.3018867924529</v>
      </c>
      <c r="O13" s="43">
        <f>年度运营成本测算明细!$F$11/12</f>
        <v>11.7924528301887</v>
      </c>
      <c r="P13" s="43">
        <f>年度运营成本测算明细!$F$11/12</f>
        <v>11.7924528301887</v>
      </c>
      <c r="Q13" s="43">
        <f>年度运营成本测算明细!$F$11/12</f>
        <v>11.7924528301887</v>
      </c>
      <c r="R13" s="43">
        <f>年度运营成本测算明细!$F$11/12</f>
        <v>11.7924528301887</v>
      </c>
      <c r="S13" s="43">
        <f>年度运营成本测算明细!$F$11/12</f>
        <v>11.7924528301887</v>
      </c>
      <c r="T13" s="43">
        <f>年度运营成本测算明细!$F$11/12</f>
        <v>11.7924528301887</v>
      </c>
      <c r="U13" s="43">
        <f>年度运营成本测算明细!$F$11/12</f>
        <v>11.7924528301887</v>
      </c>
      <c r="V13" s="43">
        <f>年度运营成本测算明细!$F$11/12</f>
        <v>11.7924528301887</v>
      </c>
      <c r="W13" s="43">
        <f>年度运营成本测算明细!$F$11/12</f>
        <v>11.7924528301887</v>
      </c>
      <c r="X13" s="43">
        <f>年度运营成本测算明细!$F$11/12</f>
        <v>11.7924528301887</v>
      </c>
      <c r="Y13" s="43">
        <f>年度运营成本测算明细!$F$11/12</f>
        <v>11.7924528301887</v>
      </c>
      <c r="Z13" s="43">
        <f>年度运营成本测算明细!$F$11/12</f>
        <v>11.7924528301887</v>
      </c>
      <c r="AA13" s="43">
        <f t="shared" si="7"/>
        <v>141.509433962264</v>
      </c>
      <c r="AB13" s="43">
        <f>年度运营成本测算明细!$G$11/12</f>
        <v>23.5849056603774</v>
      </c>
      <c r="AC13" s="43">
        <f>年度运营成本测算明细!$G$11/12</f>
        <v>23.5849056603774</v>
      </c>
      <c r="AD13" s="43">
        <f>年度运营成本测算明细!$G$11/12</f>
        <v>23.5849056603774</v>
      </c>
      <c r="AE13" s="43">
        <f>年度运营成本测算明细!$G$11/12</f>
        <v>23.5849056603774</v>
      </c>
      <c r="AF13" s="43">
        <f>年度运营成本测算明细!$G$11/12</f>
        <v>23.5849056603774</v>
      </c>
      <c r="AG13" s="43">
        <f>年度运营成本测算明细!$G$11/12</f>
        <v>23.5849056603774</v>
      </c>
      <c r="AH13" s="43">
        <f>年度运营成本测算明细!$G$11/12</f>
        <v>23.5849056603774</v>
      </c>
      <c r="AI13" s="43">
        <f>年度运营成本测算明细!$G$11/12</f>
        <v>23.5849056603774</v>
      </c>
      <c r="AJ13" s="43">
        <f>年度运营成本测算明细!$G$11/12</f>
        <v>23.5849056603774</v>
      </c>
      <c r="AK13" s="43">
        <f>年度运营成本测算明细!$G$11/12</f>
        <v>23.5849056603774</v>
      </c>
      <c r="AL13" s="43">
        <f>年度运营成本测算明细!$G$11/12</f>
        <v>23.5849056603774</v>
      </c>
      <c r="AM13" s="43">
        <f>年度运营成本测算明细!$G$11/12</f>
        <v>23.5849056603774</v>
      </c>
      <c r="AN13" s="43">
        <f t="shared" si="8"/>
        <v>283.018867924529</v>
      </c>
      <c r="AO13" s="43">
        <f t="shared" si="9"/>
        <v>452.830188679246</v>
      </c>
    </row>
    <row r="14" spans="1:42">
      <c r="A14" t="s">
        <v>125</v>
      </c>
      <c r="B14" s="43">
        <f>年度运营成本测算明细!$D$12/3</f>
        <v>2.20125786163522</v>
      </c>
      <c r="C14" s="43">
        <f>年度运营成本测算明细!$D$12/3</f>
        <v>2.20125786163522</v>
      </c>
      <c r="D14" s="43">
        <f>年度运营成本测算明细!$D$12/3</f>
        <v>2.20125786163522</v>
      </c>
      <c r="E14" s="43">
        <f>年度运营成本测算明细!$E$12/9</f>
        <v>2.20125786163522</v>
      </c>
      <c r="F14" s="43">
        <f>年度运营成本测算明细!$E$12/9</f>
        <v>2.20125786163522</v>
      </c>
      <c r="G14" s="43">
        <f>年度运营成本测算明细!$E$12/9</f>
        <v>2.20125786163522</v>
      </c>
      <c r="H14" s="43">
        <f>年度运营成本测算明细!$E$12/9</f>
        <v>2.20125786163522</v>
      </c>
      <c r="I14" s="43">
        <f>年度运营成本测算明细!$E$12/9</f>
        <v>2.20125786163522</v>
      </c>
      <c r="J14" s="43">
        <f>年度运营成本测算明细!$E$12/9</f>
        <v>2.20125786163522</v>
      </c>
      <c r="K14" s="43">
        <f>年度运营成本测算明细!$E$12/9</f>
        <v>2.20125786163522</v>
      </c>
      <c r="L14" s="43">
        <f>年度运营成本测算明细!$E$12/9</f>
        <v>2.20125786163522</v>
      </c>
      <c r="M14" s="43">
        <f>年度运营成本测算明细!$E$12/9</f>
        <v>2.20125786163522</v>
      </c>
      <c r="N14" s="43">
        <f t="shared" si="6"/>
        <v>26.4150943396226</v>
      </c>
      <c r="O14" s="43">
        <f>年度运营成本测算明细!$F$12/12</f>
        <v>5.9748427672956</v>
      </c>
      <c r="P14" s="43">
        <f>年度运营成本测算明细!$F$12/12</f>
        <v>5.9748427672956</v>
      </c>
      <c r="Q14" s="43">
        <f>年度运营成本测算明细!$F$12/12</f>
        <v>5.9748427672956</v>
      </c>
      <c r="R14" s="43">
        <f>年度运营成本测算明细!$F$12/12</f>
        <v>5.9748427672956</v>
      </c>
      <c r="S14" s="43">
        <f>年度运营成本测算明细!$F$12/12</f>
        <v>5.9748427672956</v>
      </c>
      <c r="T14" s="43">
        <f>年度运营成本测算明细!$F$12/12</f>
        <v>5.9748427672956</v>
      </c>
      <c r="U14" s="43">
        <f>年度运营成本测算明细!$F$12/12</f>
        <v>5.9748427672956</v>
      </c>
      <c r="V14" s="43">
        <f>年度运营成本测算明细!$F$12/12</f>
        <v>5.9748427672956</v>
      </c>
      <c r="W14" s="43">
        <f>年度运营成本测算明细!$F$12/12</f>
        <v>5.9748427672956</v>
      </c>
      <c r="X14" s="43">
        <f>年度运营成本测算明细!$F$12/12</f>
        <v>5.9748427672956</v>
      </c>
      <c r="Y14" s="43">
        <f>年度运营成本测算明细!$F$12/12</f>
        <v>5.9748427672956</v>
      </c>
      <c r="Z14" s="43">
        <f>年度运营成本测算明细!$F$12/12</f>
        <v>5.9748427672956</v>
      </c>
      <c r="AA14" s="43">
        <f t="shared" si="7"/>
        <v>71.6981132075472</v>
      </c>
      <c r="AB14" s="43">
        <f>年度运营成本测算明细!$G$12/12</f>
        <v>22.0125786163522</v>
      </c>
      <c r="AC14" s="43">
        <f>年度运营成本测算明细!$G$12/12</f>
        <v>22.0125786163522</v>
      </c>
      <c r="AD14" s="43">
        <f>年度运营成本测算明细!$G$12/12</f>
        <v>22.0125786163522</v>
      </c>
      <c r="AE14" s="43">
        <f>年度运营成本测算明细!$G$12/12</f>
        <v>22.0125786163522</v>
      </c>
      <c r="AF14" s="43">
        <f>年度运营成本测算明细!$G$12/12</f>
        <v>22.0125786163522</v>
      </c>
      <c r="AG14" s="43">
        <f>年度运营成本测算明细!$G$12/12</f>
        <v>22.0125786163522</v>
      </c>
      <c r="AH14" s="43">
        <f>年度运营成本测算明细!$G$12/12</f>
        <v>22.0125786163522</v>
      </c>
      <c r="AI14" s="43">
        <f>年度运营成本测算明细!$G$12/12</f>
        <v>22.0125786163522</v>
      </c>
      <c r="AJ14" s="43">
        <f>年度运营成本测算明细!$G$12/12</f>
        <v>22.0125786163522</v>
      </c>
      <c r="AK14" s="43">
        <f>年度运营成本测算明细!$G$12/12</f>
        <v>22.0125786163522</v>
      </c>
      <c r="AL14" s="43">
        <f>年度运营成本测算明细!$G$12/12</f>
        <v>22.0125786163522</v>
      </c>
      <c r="AM14" s="43">
        <f>年度运营成本测算明细!$G$12/12</f>
        <v>22.0125786163522</v>
      </c>
      <c r="AN14" s="43">
        <f t="shared" si="8"/>
        <v>264.150943396226</v>
      </c>
      <c r="AO14" s="43">
        <f t="shared" si="9"/>
        <v>362.264150943396</v>
      </c>
    </row>
    <row r="15" spans="1:42">
      <c r="B15" s="43">
        <f>年度运营成本测算明细!$D$13/12</f>
        <v>0</v>
      </c>
      <c r="C15" s="43">
        <f>年度运营成本测算明细!$D$13/12</f>
        <v>0</v>
      </c>
      <c r="D15" s="43">
        <f>年度运营成本测算明细!$D$13/12</f>
        <v>0</v>
      </c>
      <c r="E15" s="43">
        <f>年度运营成本测算明细!$D$13/12</f>
        <v>0</v>
      </c>
      <c r="F15" s="43">
        <f>年度运营成本测算明细!$D$13/12</f>
        <v>0</v>
      </c>
      <c r="G15" s="43">
        <f>年度运营成本测算明细!$D$13/12</f>
        <v>0</v>
      </c>
      <c r="H15" s="43">
        <f>年度运营成本测算明细!$D$13/12</f>
        <v>0</v>
      </c>
      <c r="I15" s="43">
        <f>年度运营成本测算明细!$D$13/12</f>
        <v>0</v>
      </c>
      <c r="J15" s="43">
        <f>年度运营成本测算明细!$D$13/12</f>
        <v>0</v>
      </c>
      <c r="K15" s="43">
        <f>年度运营成本测算明细!$D$13/12</f>
        <v>0</v>
      </c>
      <c r="L15" s="43">
        <f>年度运营成本测算明细!$D$13/12</f>
        <v>0</v>
      </c>
      <c r="M15" s="43">
        <f>年度运营成本测算明细!$D$13/12</f>
        <v>0</v>
      </c>
      <c r="N15" s="43">
        <f t="shared" si="6"/>
        <v>0</v>
      </c>
      <c r="O15" s="43">
        <f>年度运营成本测算明细!$F$13/12</f>
        <v>0</v>
      </c>
      <c r="P15" s="43">
        <f>年度运营成本测算明细!$F$13/12</f>
        <v>0</v>
      </c>
      <c r="Q15" s="43">
        <f>年度运营成本测算明细!$F$13/12</f>
        <v>0</v>
      </c>
      <c r="R15" s="43">
        <f>年度运营成本测算明细!$F$13/12</f>
        <v>0</v>
      </c>
      <c r="S15" s="43">
        <f>年度运营成本测算明细!$F$13/12</f>
        <v>0</v>
      </c>
      <c r="T15" s="43">
        <f>年度运营成本测算明细!$F$13/12</f>
        <v>0</v>
      </c>
      <c r="U15" s="43">
        <f>年度运营成本测算明细!$F$13/12</f>
        <v>0</v>
      </c>
      <c r="V15" s="43">
        <f>年度运营成本测算明细!$F$13/12</f>
        <v>0</v>
      </c>
      <c r="W15" s="43">
        <f>年度运营成本测算明细!$F$13/12</f>
        <v>0</v>
      </c>
      <c r="X15" s="43">
        <f>年度运营成本测算明细!$F$13/12</f>
        <v>0</v>
      </c>
      <c r="Y15" s="43">
        <f>年度运营成本测算明细!$F$13/12</f>
        <v>0</v>
      </c>
      <c r="Z15" s="43">
        <f>年度运营成本测算明细!$F$13/12</f>
        <v>0</v>
      </c>
      <c r="AA15" s="43">
        <f t="shared" si="7"/>
        <v>0</v>
      </c>
      <c r="AB15" s="43">
        <f>年度运营成本测算明细!$G$13/12</f>
        <v>0</v>
      </c>
      <c r="AC15" s="43">
        <f>年度运营成本测算明细!$G$13/12</f>
        <v>0</v>
      </c>
      <c r="AD15" s="43">
        <f>年度运营成本测算明细!$G$13/12</f>
        <v>0</v>
      </c>
      <c r="AE15" s="43">
        <f>年度运营成本测算明细!$G$13/12</f>
        <v>0</v>
      </c>
      <c r="AF15" s="43">
        <f>年度运营成本测算明细!$G$13/12</f>
        <v>0</v>
      </c>
      <c r="AG15" s="43">
        <f>年度运营成本测算明细!$G$13/12</f>
        <v>0</v>
      </c>
      <c r="AH15" s="43">
        <f>年度运营成本测算明细!$G$13/12</f>
        <v>0</v>
      </c>
      <c r="AI15" s="43">
        <f>年度运营成本测算明细!$G$13/12</f>
        <v>0</v>
      </c>
      <c r="AJ15" s="43">
        <f>年度运营成本测算明细!$G$13/12</f>
        <v>0</v>
      </c>
      <c r="AK15" s="43">
        <f>年度运营成本测算明细!$G$13/12</f>
        <v>0</v>
      </c>
      <c r="AL15" s="43">
        <f>年度运营成本测算明细!$G$13/12</f>
        <v>0</v>
      </c>
      <c r="AM15" s="43">
        <f>年度运营成本测算明细!$G$13/12</f>
        <v>0</v>
      </c>
      <c r="AN15" s="43">
        <f t="shared" si="8"/>
        <v>0</v>
      </c>
      <c r="AO15" s="43">
        <f t="shared" si="9"/>
        <v>0</v>
      </c>
    </row>
    <row r="16" spans="1:42">
      <c r="B16" s="43">
        <f>年度运营成本测算明细!$D$14/12</f>
        <v>0</v>
      </c>
      <c r="C16" s="43">
        <f>年度运营成本测算明细!$D$14/12</f>
        <v>0</v>
      </c>
      <c r="D16" s="43">
        <f>年度运营成本测算明细!$D$14/12</f>
        <v>0</v>
      </c>
      <c r="E16" s="43">
        <f>年度运营成本测算明细!$D$14/12</f>
        <v>0</v>
      </c>
      <c r="F16" s="43">
        <f>年度运营成本测算明细!$D$14/12</f>
        <v>0</v>
      </c>
      <c r="G16" s="43">
        <f>年度运营成本测算明细!$D$14/12</f>
        <v>0</v>
      </c>
      <c r="H16" s="43">
        <f>年度运营成本测算明细!$D$14/12</f>
        <v>0</v>
      </c>
      <c r="I16" s="43">
        <f>年度运营成本测算明细!$D$14/12</f>
        <v>0</v>
      </c>
      <c r="J16" s="43">
        <f>年度运营成本测算明细!$D$14/12</f>
        <v>0</v>
      </c>
      <c r="K16" s="43">
        <f>年度运营成本测算明细!$D$14/12</f>
        <v>0</v>
      </c>
      <c r="L16" s="43">
        <f>年度运营成本测算明细!$D$14/12</f>
        <v>0</v>
      </c>
      <c r="M16" s="43">
        <f>年度运营成本测算明细!$D$14/12</f>
        <v>0</v>
      </c>
      <c r="N16" s="43">
        <f t="shared" si="6"/>
        <v>0</v>
      </c>
      <c r="O16" s="43">
        <f>年度运营成本测算明细!$F$14/12</f>
        <v>0</v>
      </c>
      <c r="P16" s="43">
        <f>年度运营成本测算明细!$F$14/12</f>
        <v>0</v>
      </c>
      <c r="Q16" s="43">
        <f>年度运营成本测算明细!$F$14/12</f>
        <v>0</v>
      </c>
      <c r="R16" s="43">
        <f>年度运营成本测算明细!$F$14/12</f>
        <v>0</v>
      </c>
      <c r="S16" s="43">
        <f>年度运营成本测算明细!$F$14/12</f>
        <v>0</v>
      </c>
      <c r="T16" s="43">
        <f>年度运营成本测算明细!$F$14/12</f>
        <v>0</v>
      </c>
      <c r="U16" s="43">
        <f>年度运营成本测算明细!$F$14/12</f>
        <v>0</v>
      </c>
      <c r="V16" s="43">
        <f>年度运营成本测算明细!$F$14/12</f>
        <v>0</v>
      </c>
      <c r="W16" s="43">
        <f>年度运营成本测算明细!$F$14/12</f>
        <v>0</v>
      </c>
      <c r="X16" s="43">
        <f>年度运营成本测算明细!$F$14/12</f>
        <v>0</v>
      </c>
      <c r="Y16" s="43">
        <f>年度运营成本测算明细!$F$14/12</f>
        <v>0</v>
      </c>
      <c r="Z16" s="43">
        <f>年度运营成本测算明细!$F$14/12</f>
        <v>0</v>
      </c>
      <c r="AA16" s="43">
        <f t="shared" si="7"/>
        <v>0</v>
      </c>
      <c r="AB16" s="43">
        <f>年度运营成本测算明细!$G$14/12</f>
        <v>0</v>
      </c>
      <c r="AC16" s="43">
        <f>年度运营成本测算明细!$G$14/12</f>
        <v>0</v>
      </c>
      <c r="AD16" s="43">
        <f>年度运营成本测算明细!$G$14/12</f>
        <v>0</v>
      </c>
      <c r="AE16" s="43">
        <f>年度运营成本测算明细!$G$14/12</f>
        <v>0</v>
      </c>
      <c r="AF16" s="43">
        <f>年度运营成本测算明细!$G$14/12</f>
        <v>0</v>
      </c>
      <c r="AG16" s="43">
        <f>年度运营成本测算明细!$G$14/12</f>
        <v>0</v>
      </c>
      <c r="AH16" s="43">
        <f>年度运营成本测算明细!$G$14/12</f>
        <v>0</v>
      </c>
      <c r="AI16" s="43">
        <f>年度运营成本测算明细!$G$14/12</f>
        <v>0</v>
      </c>
      <c r="AJ16" s="43">
        <f>年度运营成本测算明细!$G$14/12</f>
        <v>0</v>
      </c>
      <c r="AK16" s="43">
        <f>年度运营成本测算明细!$G$14/12</f>
        <v>0</v>
      </c>
      <c r="AL16" s="43">
        <f>年度运营成本测算明细!$G$14/12</f>
        <v>0</v>
      </c>
      <c r="AM16" s="43">
        <f>年度运营成本测算明细!$G$14/12</f>
        <v>0</v>
      </c>
      <c r="AN16" s="43">
        <f t="shared" si="8"/>
        <v>0</v>
      </c>
      <c r="AO16" s="43">
        <f t="shared" si="9"/>
        <v>0</v>
      </c>
    </row>
    <row r="17" s="37" customFormat="1" spans="1:42">
      <c r="A17" s="37" t="s">
        <v>126</v>
      </c>
      <c r="B17" s="42">
        <f t="shared" ref="B17:M17" si="19">SUM(B18)</f>
        <v>7.86163522012579</v>
      </c>
      <c r="C17" s="42">
        <f t="shared" si="19"/>
        <v>7.86163522012579</v>
      </c>
      <c r="D17" s="42">
        <f t="shared" si="19"/>
        <v>7.86163522012579</v>
      </c>
      <c r="E17" s="42">
        <f t="shared" si="19"/>
        <v>7.86163522012579</v>
      </c>
      <c r="F17" s="42">
        <f t="shared" si="19"/>
        <v>7.86163522012579</v>
      </c>
      <c r="G17" s="42">
        <f t="shared" si="19"/>
        <v>7.86163522012579</v>
      </c>
      <c r="H17" s="42">
        <f t="shared" si="19"/>
        <v>7.86163522012579</v>
      </c>
      <c r="I17" s="42">
        <f t="shared" si="19"/>
        <v>7.86163522012579</v>
      </c>
      <c r="J17" s="42">
        <f t="shared" si="19"/>
        <v>7.86163522012579</v>
      </c>
      <c r="K17" s="42">
        <f t="shared" si="19"/>
        <v>7.86163522012579</v>
      </c>
      <c r="L17" s="42">
        <f t="shared" si="19"/>
        <v>7.86163522012579</v>
      </c>
      <c r="M17" s="42">
        <f t="shared" si="19"/>
        <v>7.86163522012579</v>
      </c>
      <c r="N17" s="42">
        <f t="shared" si="6"/>
        <v>94.3396226415095</v>
      </c>
      <c r="O17" s="42">
        <f t="shared" ref="O17:AL17" si="20">SUM(O18)</f>
        <v>0</v>
      </c>
      <c r="P17" s="42">
        <f t="shared" si="20"/>
        <v>0</v>
      </c>
      <c r="Q17" s="42">
        <f t="shared" si="20"/>
        <v>0</v>
      </c>
      <c r="R17" s="42">
        <f t="shared" si="20"/>
        <v>0</v>
      </c>
      <c r="S17" s="42">
        <f t="shared" si="20"/>
        <v>0</v>
      </c>
      <c r="T17" s="42">
        <f t="shared" si="20"/>
        <v>0</v>
      </c>
      <c r="U17" s="42">
        <f t="shared" si="20"/>
        <v>0</v>
      </c>
      <c r="V17" s="42">
        <f t="shared" si="20"/>
        <v>0</v>
      </c>
      <c r="W17" s="42">
        <f t="shared" si="20"/>
        <v>0</v>
      </c>
      <c r="X17" s="42">
        <f t="shared" si="20"/>
        <v>0</v>
      </c>
      <c r="Y17" s="42">
        <f t="shared" si="20"/>
        <v>0</v>
      </c>
      <c r="Z17" s="42">
        <f t="shared" si="20"/>
        <v>0</v>
      </c>
      <c r="AA17" s="42">
        <f t="shared" si="7"/>
        <v>0</v>
      </c>
      <c r="AB17" s="42">
        <f t="shared" ref="AB17:AM17" si="21">SUM(AB18)</f>
        <v>0</v>
      </c>
      <c r="AC17" s="42">
        <f t="shared" si="21"/>
        <v>0</v>
      </c>
      <c r="AD17" s="42">
        <f t="shared" si="21"/>
        <v>0</v>
      </c>
      <c r="AE17" s="42">
        <f t="shared" si="21"/>
        <v>0</v>
      </c>
      <c r="AF17" s="42">
        <f t="shared" si="21"/>
        <v>0</v>
      </c>
      <c r="AG17" s="42">
        <f t="shared" si="21"/>
        <v>0</v>
      </c>
      <c r="AH17" s="42">
        <f t="shared" si="21"/>
        <v>0</v>
      </c>
      <c r="AI17" s="42">
        <f t="shared" si="21"/>
        <v>0</v>
      </c>
      <c r="AJ17" s="42">
        <f t="shared" si="21"/>
        <v>0</v>
      </c>
      <c r="AK17" s="42">
        <f t="shared" si="21"/>
        <v>0</v>
      </c>
      <c r="AL17" s="42">
        <f t="shared" si="21"/>
        <v>0</v>
      </c>
      <c r="AM17" s="42">
        <f t="shared" si="21"/>
        <v>0</v>
      </c>
      <c r="AN17" s="42">
        <f t="shared" si="8"/>
        <v>0</v>
      </c>
      <c r="AO17" s="42">
        <f t="shared" si="9"/>
        <v>94.3396226415095</v>
      </c>
    </row>
    <row r="18" spans="1:42">
      <c r="A18" t="s">
        <v>127</v>
      </c>
      <c r="B18" s="43">
        <f>年度运营成本测算明细!$D$17/12</f>
        <v>7.86163522012579</v>
      </c>
      <c r="C18" s="43">
        <f>年度运营成本测算明细!$D$17/12</f>
        <v>7.86163522012579</v>
      </c>
      <c r="D18" s="43">
        <f>年度运营成本测算明细!$D$17/12</f>
        <v>7.86163522012579</v>
      </c>
      <c r="E18" s="43">
        <f>年度运营成本测算明细!$D$17/12</f>
        <v>7.86163522012579</v>
      </c>
      <c r="F18" s="43">
        <f>年度运营成本测算明细!$D$17/12</f>
        <v>7.86163522012579</v>
      </c>
      <c r="G18" s="43">
        <f>年度运营成本测算明细!$D$17/12</f>
        <v>7.86163522012579</v>
      </c>
      <c r="H18" s="43">
        <f>年度运营成本测算明细!$D$17/12</f>
        <v>7.86163522012579</v>
      </c>
      <c r="I18" s="43">
        <f>年度运营成本测算明细!$D$17/12</f>
        <v>7.86163522012579</v>
      </c>
      <c r="J18" s="43">
        <f>年度运营成本测算明细!$D$17/12</f>
        <v>7.86163522012579</v>
      </c>
      <c r="K18" s="43">
        <f>年度运营成本测算明细!$D$17/12</f>
        <v>7.86163522012579</v>
      </c>
      <c r="L18" s="43">
        <f>年度运营成本测算明细!$D$17/12</f>
        <v>7.86163522012579</v>
      </c>
      <c r="M18" s="43">
        <f>年度运营成本测算明细!$D$17/12</f>
        <v>7.86163522012579</v>
      </c>
      <c r="N18" s="43">
        <f t="shared" si="6"/>
        <v>94.3396226415095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>
        <f t="shared" si="7"/>
        <v>0</v>
      </c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>
        <f t="shared" si="8"/>
        <v>0</v>
      </c>
      <c r="AO18" s="43">
        <f t="shared" si="9"/>
        <v>94.3396226415095</v>
      </c>
    </row>
    <row r="19" s="37" customFormat="1" spans="1:42">
      <c r="A19" s="37" t="s">
        <v>128</v>
      </c>
      <c r="B19" s="42">
        <f>SUM(B20:B21)</f>
        <v>0</v>
      </c>
      <c r="C19" s="42">
        <f t="shared" ref="C19:N19" si="22">SUM(C20:C21)</f>
        <v>0</v>
      </c>
      <c r="D19" s="42">
        <f t="shared" si="22"/>
        <v>0</v>
      </c>
      <c r="E19" s="42">
        <f t="shared" si="22"/>
        <v>1.0188679245283</v>
      </c>
      <c r="F19" s="42">
        <f t="shared" si="22"/>
        <v>2.0377358490566</v>
      </c>
      <c r="G19" s="42">
        <f t="shared" si="22"/>
        <v>4.07547169811321</v>
      </c>
      <c r="H19" s="42">
        <f t="shared" si="22"/>
        <v>5.43396226415094</v>
      </c>
      <c r="I19" s="42">
        <f t="shared" si="22"/>
        <v>6.79245283018868</v>
      </c>
      <c r="J19" s="42">
        <f t="shared" si="22"/>
        <v>7.81132075471698</v>
      </c>
      <c r="K19" s="42">
        <f t="shared" si="22"/>
        <v>8.83018867924528</v>
      </c>
      <c r="L19" s="42">
        <f t="shared" si="22"/>
        <v>9.84905660377358</v>
      </c>
      <c r="M19" s="42">
        <f t="shared" si="22"/>
        <v>10.8679245283019</v>
      </c>
      <c r="N19" s="42">
        <f t="shared" si="6"/>
        <v>56.7169811320755</v>
      </c>
      <c r="O19" s="42">
        <f t="shared" ref="O19:Z19" si="23">SUM(O20:O21)</f>
        <v>19.6132075471698</v>
      </c>
      <c r="P19" s="42">
        <f t="shared" si="23"/>
        <v>20.2075471698113</v>
      </c>
      <c r="Q19" s="42">
        <f t="shared" si="23"/>
        <v>20.8018867924528</v>
      </c>
      <c r="R19" s="42">
        <f t="shared" si="23"/>
        <v>21.3962264150943</v>
      </c>
      <c r="S19" s="42">
        <f t="shared" si="23"/>
        <v>21.9905660377358</v>
      </c>
      <c r="T19" s="42">
        <f t="shared" si="23"/>
        <v>22.5849056603774</v>
      </c>
      <c r="U19" s="42">
        <f t="shared" si="23"/>
        <v>23.1792452830189</v>
      </c>
      <c r="V19" s="42">
        <f t="shared" si="23"/>
        <v>23.7735849056604</v>
      </c>
      <c r="W19" s="42">
        <f t="shared" si="23"/>
        <v>24.3679245283019</v>
      </c>
      <c r="X19" s="42">
        <f t="shared" si="23"/>
        <v>24.9622641509434</v>
      </c>
      <c r="Y19" s="42">
        <f t="shared" si="23"/>
        <v>25.5566037735849</v>
      </c>
      <c r="Z19" s="42">
        <f t="shared" si="23"/>
        <v>26.1509433962264</v>
      </c>
      <c r="AA19" s="42">
        <f t="shared" si="7"/>
        <v>274.584905660377</v>
      </c>
      <c r="AB19" s="42">
        <f t="shared" ref="AB19:AM19" si="24">SUM(AB20:AB21)</f>
        <v>38.0377358490566</v>
      </c>
      <c r="AC19" s="42">
        <f t="shared" si="24"/>
        <v>49.1320754716981</v>
      </c>
      <c r="AD19" s="42">
        <f t="shared" si="24"/>
        <v>60.2264150943396</v>
      </c>
      <c r="AE19" s="42">
        <f t="shared" si="24"/>
        <v>71.3207547169811</v>
      </c>
      <c r="AF19" s="42">
        <f t="shared" si="24"/>
        <v>87.1698113207547</v>
      </c>
      <c r="AG19" s="42">
        <f t="shared" si="24"/>
        <v>103.018867924528</v>
      </c>
      <c r="AH19" s="42">
        <f t="shared" si="24"/>
        <v>118.867924528302</v>
      </c>
      <c r="AI19" s="42">
        <f t="shared" si="24"/>
        <v>134.716981132075</v>
      </c>
      <c r="AJ19" s="42">
        <f t="shared" si="24"/>
        <v>150.566037735849</v>
      </c>
      <c r="AK19" s="42">
        <f t="shared" si="24"/>
        <v>166.415094339623</v>
      </c>
      <c r="AL19" s="42">
        <f t="shared" si="24"/>
        <v>190.188679245283</v>
      </c>
      <c r="AM19" s="42">
        <f t="shared" si="24"/>
        <v>239.479245283019</v>
      </c>
      <c r="AN19" s="42">
        <f t="shared" si="8"/>
        <v>1409.13962264151</v>
      </c>
      <c r="AO19" s="42">
        <f t="shared" si="9"/>
        <v>1740.44150943396</v>
      </c>
    </row>
    <row r="20" s="38" customFormat="1" spans="1:42">
      <c r="A20" s="38" t="s">
        <v>129</v>
      </c>
      <c r="B20" s="44"/>
      <c r="C20" s="44"/>
      <c r="D20" s="44"/>
      <c r="E20" s="44">
        <f>E36*E37*E39*E41*30/1000/1.06</f>
        <v>1.0188679245283</v>
      </c>
      <c r="F20" s="44">
        <f t="shared" ref="F20:M20" si="25">F36*F37*F39*F41*30/1000/1.06</f>
        <v>2.0377358490566</v>
      </c>
      <c r="G20" s="44">
        <f t="shared" si="25"/>
        <v>4.07547169811321</v>
      </c>
      <c r="H20" s="44">
        <f t="shared" si="25"/>
        <v>5.43396226415094</v>
      </c>
      <c r="I20" s="44">
        <f t="shared" si="25"/>
        <v>6.79245283018868</v>
      </c>
      <c r="J20" s="44">
        <f t="shared" si="25"/>
        <v>7.81132075471698</v>
      </c>
      <c r="K20" s="44">
        <f t="shared" si="25"/>
        <v>8.83018867924528</v>
      </c>
      <c r="L20" s="44">
        <f t="shared" si="25"/>
        <v>9.84905660377358</v>
      </c>
      <c r="M20" s="44">
        <f t="shared" si="25"/>
        <v>10.8679245283019</v>
      </c>
      <c r="N20" s="44">
        <f t="shared" si="6"/>
        <v>56.7169811320755</v>
      </c>
      <c r="O20" s="44">
        <f>O36*O37*O39*O41*30/1000/1.06</f>
        <v>16.811320754717</v>
      </c>
      <c r="P20" s="44">
        <f t="shared" ref="P20:Z20" si="26">P36*P37*P39*P41*30/1000/1.06</f>
        <v>17.3207547169811</v>
      </c>
      <c r="Q20" s="44">
        <f t="shared" si="26"/>
        <v>17.8301886792453</v>
      </c>
      <c r="R20" s="44">
        <f t="shared" si="26"/>
        <v>18.3396226415094</v>
      </c>
      <c r="S20" s="44">
        <f t="shared" si="26"/>
        <v>18.8490566037736</v>
      </c>
      <c r="T20" s="44">
        <f t="shared" si="26"/>
        <v>19.3584905660377</v>
      </c>
      <c r="U20" s="44">
        <f t="shared" si="26"/>
        <v>19.8679245283019</v>
      </c>
      <c r="V20" s="44">
        <f t="shared" si="26"/>
        <v>20.377358490566</v>
      </c>
      <c r="W20" s="44">
        <f t="shared" si="26"/>
        <v>20.8867924528302</v>
      </c>
      <c r="X20" s="44">
        <f t="shared" si="26"/>
        <v>21.3962264150943</v>
      </c>
      <c r="Y20" s="44">
        <f t="shared" si="26"/>
        <v>21.9056603773585</v>
      </c>
      <c r="Z20" s="44">
        <f t="shared" si="26"/>
        <v>22.4150943396226</v>
      </c>
      <c r="AA20" s="44">
        <f t="shared" si="7"/>
        <v>235.358490566038</v>
      </c>
      <c r="AB20" s="44">
        <f>AB36*AB37*AB39*AB41*30/1000/1.06</f>
        <v>32.6037735849057</v>
      </c>
      <c r="AC20" s="44">
        <f t="shared" ref="AC20:AM20" si="27">AC36*AC37*AC39*AC41*30/1000/1.06</f>
        <v>42.1132075471698</v>
      </c>
      <c r="AD20" s="44">
        <f t="shared" si="27"/>
        <v>51.622641509434</v>
      </c>
      <c r="AE20" s="44">
        <f t="shared" si="27"/>
        <v>61.1320754716981</v>
      </c>
      <c r="AF20" s="44">
        <f t="shared" si="27"/>
        <v>74.7169811320755</v>
      </c>
      <c r="AG20" s="44">
        <f t="shared" si="27"/>
        <v>88.3018867924528</v>
      </c>
      <c r="AH20" s="44">
        <f t="shared" si="27"/>
        <v>101.88679245283</v>
      </c>
      <c r="AI20" s="44">
        <f t="shared" si="27"/>
        <v>115.471698113208</v>
      </c>
      <c r="AJ20" s="44">
        <f t="shared" si="27"/>
        <v>129.056603773585</v>
      </c>
      <c r="AK20" s="44">
        <f t="shared" si="27"/>
        <v>142.641509433962</v>
      </c>
      <c r="AL20" s="44">
        <f t="shared" si="27"/>
        <v>163.018867924528</v>
      </c>
      <c r="AM20" s="44">
        <f t="shared" si="27"/>
        <v>205.267924528302</v>
      </c>
      <c r="AN20" s="44">
        <f t="shared" si="8"/>
        <v>1207.83396226415</v>
      </c>
      <c r="AO20" s="44">
        <f t="shared" si="9"/>
        <v>1499.90943396226</v>
      </c>
    </row>
    <row r="21" spans="1:42">
      <c r="A21" t="s">
        <v>130</v>
      </c>
      <c r="B21" s="43"/>
      <c r="C21" s="43"/>
      <c r="D21" s="43"/>
      <c r="E21" s="43">
        <f>E36*E37*E39*E40*30/1000/1.06</f>
        <v>0</v>
      </c>
      <c r="F21" s="43">
        <f t="shared" ref="F21:M21" si="28">F36*F37*F39*F40*30/1000/1.06</f>
        <v>0</v>
      </c>
      <c r="G21" s="43">
        <f t="shared" si="28"/>
        <v>0</v>
      </c>
      <c r="H21" s="43">
        <f t="shared" si="28"/>
        <v>0</v>
      </c>
      <c r="I21" s="43">
        <f t="shared" si="28"/>
        <v>0</v>
      </c>
      <c r="J21" s="43">
        <f t="shared" si="28"/>
        <v>0</v>
      </c>
      <c r="K21" s="43">
        <f t="shared" si="28"/>
        <v>0</v>
      </c>
      <c r="L21" s="43">
        <f t="shared" si="28"/>
        <v>0</v>
      </c>
      <c r="M21" s="43">
        <f t="shared" si="28"/>
        <v>0</v>
      </c>
      <c r="N21" s="43">
        <f t="shared" si="6"/>
        <v>0</v>
      </c>
      <c r="O21" s="43">
        <f>O36*O37*O39*O40*30/1000/1.06</f>
        <v>2.80188679245283</v>
      </c>
      <c r="P21" s="43">
        <f t="shared" ref="P21:Z21" si="29">P36*P37*P39*P40*30/1000/1.06</f>
        <v>2.88679245283019</v>
      </c>
      <c r="Q21" s="43">
        <f t="shared" si="29"/>
        <v>2.97169811320755</v>
      </c>
      <c r="R21" s="43">
        <f t="shared" si="29"/>
        <v>3.05660377358491</v>
      </c>
      <c r="S21" s="43">
        <f t="shared" si="29"/>
        <v>3.14150943396226</v>
      </c>
      <c r="T21" s="43">
        <f t="shared" si="29"/>
        <v>3.22641509433962</v>
      </c>
      <c r="U21" s="43">
        <f t="shared" si="29"/>
        <v>3.31132075471698</v>
      </c>
      <c r="V21" s="43">
        <f t="shared" si="29"/>
        <v>3.39622641509434</v>
      </c>
      <c r="W21" s="43">
        <f t="shared" si="29"/>
        <v>3.4811320754717</v>
      </c>
      <c r="X21" s="43">
        <f t="shared" si="29"/>
        <v>3.56603773584906</v>
      </c>
      <c r="Y21" s="43">
        <f t="shared" si="29"/>
        <v>3.65094339622641</v>
      </c>
      <c r="Z21" s="43">
        <f t="shared" si="29"/>
        <v>3.73584905660377</v>
      </c>
      <c r="AA21" s="43">
        <f t="shared" si="7"/>
        <v>39.2264150943396</v>
      </c>
      <c r="AB21" s="43">
        <f>AB36*AB37*AB39*AB40*30/1000/1.06</f>
        <v>5.43396226415094</v>
      </c>
      <c r="AC21" s="43">
        <f t="shared" ref="AC21:AM21" si="30">AC36*AC37*AC39*AC40*30/1000/1.06</f>
        <v>7.0188679245283</v>
      </c>
      <c r="AD21" s="43">
        <f t="shared" si="30"/>
        <v>8.60377358490566</v>
      </c>
      <c r="AE21" s="43">
        <f t="shared" si="30"/>
        <v>10.188679245283</v>
      </c>
      <c r="AF21" s="43">
        <f t="shared" si="30"/>
        <v>12.4528301886792</v>
      </c>
      <c r="AG21" s="43">
        <f t="shared" si="30"/>
        <v>14.7169811320755</v>
      </c>
      <c r="AH21" s="43">
        <f t="shared" si="30"/>
        <v>16.9811320754717</v>
      </c>
      <c r="AI21" s="43">
        <f t="shared" si="30"/>
        <v>19.2452830188679</v>
      </c>
      <c r="AJ21" s="43">
        <f t="shared" si="30"/>
        <v>21.5094339622642</v>
      </c>
      <c r="AK21" s="43">
        <f t="shared" si="30"/>
        <v>23.7735849056604</v>
      </c>
      <c r="AL21" s="43">
        <f t="shared" si="30"/>
        <v>27.1698113207547</v>
      </c>
      <c r="AM21" s="43">
        <f t="shared" si="30"/>
        <v>34.211320754717</v>
      </c>
      <c r="AN21" s="43">
        <f t="shared" si="8"/>
        <v>201.305660377358</v>
      </c>
      <c r="AO21" s="43">
        <f t="shared" si="9"/>
        <v>240.532075471698</v>
      </c>
    </row>
    <row r="22" s="37" customFormat="1" spans="1:42">
      <c r="A22" s="37" t="s">
        <v>131</v>
      </c>
      <c r="B22" s="42">
        <f t="shared" ref="B22:M22" si="31">SUM(B23:B26)</f>
        <v>1.87920489296636</v>
      </c>
      <c r="C22" s="42">
        <f t="shared" si="31"/>
        <v>1.87920489296636</v>
      </c>
      <c r="D22" s="42">
        <f t="shared" si="31"/>
        <v>3.64807281749466</v>
      </c>
      <c r="E22" s="42">
        <f t="shared" si="31"/>
        <v>1.87920489296636</v>
      </c>
      <c r="F22" s="42">
        <f t="shared" si="31"/>
        <v>1.87920489296636</v>
      </c>
      <c r="G22" s="42">
        <f t="shared" si="31"/>
        <v>1.87920489296636</v>
      </c>
      <c r="H22" s="42">
        <f t="shared" si="31"/>
        <v>2.20909785932722</v>
      </c>
      <c r="I22" s="42">
        <f t="shared" si="31"/>
        <v>2.20909785932722</v>
      </c>
      <c r="J22" s="42">
        <f t="shared" si="31"/>
        <v>4.56758842536495</v>
      </c>
      <c r="K22" s="42">
        <f t="shared" si="31"/>
        <v>2.83409785932722</v>
      </c>
      <c r="L22" s="42">
        <f t="shared" si="31"/>
        <v>2.83409785932722</v>
      </c>
      <c r="M22" s="42">
        <f t="shared" si="31"/>
        <v>2.83409785932722</v>
      </c>
      <c r="N22" s="42">
        <f t="shared" si="6"/>
        <v>30.5321750043275</v>
      </c>
      <c r="O22" s="42">
        <f t="shared" ref="O22:AL22" si="32">SUM(O23:O26)</f>
        <v>3.56135321100917</v>
      </c>
      <c r="P22" s="42">
        <f t="shared" si="32"/>
        <v>3.56135321100917</v>
      </c>
      <c r="Q22" s="42">
        <f t="shared" si="32"/>
        <v>3.56135321100917</v>
      </c>
      <c r="R22" s="42">
        <f t="shared" si="32"/>
        <v>3.56135321100917</v>
      </c>
      <c r="S22" s="42">
        <f t="shared" si="32"/>
        <v>3.56135321100917</v>
      </c>
      <c r="T22" s="42">
        <f t="shared" si="32"/>
        <v>3.56135321100917</v>
      </c>
      <c r="U22" s="42">
        <f t="shared" si="32"/>
        <v>3.56135321100917</v>
      </c>
      <c r="V22" s="42">
        <f t="shared" si="32"/>
        <v>3.56135321100917</v>
      </c>
      <c r="W22" s="42">
        <f t="shared" si="32"/>
        <v>3.56135321100917</v>
      </c>
      <c r="X22" s="42">
        <f t="shared" si="32"/>
        <v>10.1179569845941</v>
      </c>
      <c r="Y22" s="42">
        <f t="shared" si="32"/>
        <v>4.81135321100917</v>
      </c>
      <c r="Z22" s="42">
        <f t="shared" si="32"/>
        <v>4.81135321100917</v>
      </c>
      <c r="AA22" s="42">
        <f t="shared" si="7"/>
        <v>51.792842305695</v>
      </c>
      <c r="AB22" s="42">
        <f t="shared" ref="AB22:AM22" si="33">SUM(AB23:AB26)</f>
        <v>50.595987681034</v>
      </c>
      <c r="AC22" s="42">
        <f t="shared" si="33"/>
        <v>8.14315749235474</v>
      </c>
      <c r="AD22" s="42">
        <f t="shared" si="33"/>
        <v>8.14315749235474</v>
      </c>
      <c r="AE22" s="42">
        <f t="shared" si="33"/>
        <v>8.14315749235474</v>
      </c>
      <c r="AF22" s="42">
        <f t="shared" si="33"/>
        <v>8.14315749235474</v>
      </c>
      <c r="AG22" s="42">
        <f t="shared" si="33"/>
        <v>78.8978744734868</v>
      </c>
      <c r="AH22" s="42">
        <f t="shared" si="33"/>
        <v>8.14315749235474</v>
      </c>
      <c r="AI22" s="42">
        <f t="shared" si="33"/>
        <v>8.14315749235474</v>
      </c>
      <c r="AJ22" s="42">
        <f t="shared" si="33"/>
        <v>8.14315749235474</v>
      </c>
      <c r="AK22" s="42">
        <f t="shared" si="33"/>
        <v>16.6478744734868</v>
      </c>
      <c r="AL22" s="42">
        <f t="shared" si="33"/>
        <v>9.64315749235474</v>
      </c>
      <c r="AM22" s="42">
        <f t="shared" si="33"/>
        <v>37.9450442848076</v>
      </c>
      <c r="AN22" s="42">
        <f t="shared" si="8"/>
        <v>250.732040851653</v>
      </c>
      <c r="AO22" s="42">
        <f t="shared" si="9"/>
        <v>333.057058161676</v>
      </c>
    </row>
    <row r="23" spans="1:42">
      <c r="A23" t="s">
        <v>132</v>
      </c>
      <c r="B23" s="43">
        <f>年度运营成本测算明细!$D$24/12</f>
        <v>0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>
        <f t="shared" si="6"/>
        <v>0</v>
      </c>
      <c r="O23" s="43">
        <f>年度运营成本测算明细!F24*30%</f>
        <v>0</v>
      </c>
      <c r="P23" s="43"/>
      <c r="Q23" s="43"/>
      <c r="R23" s="43"/>
      <c r="S23" s="43"/>
      <c r="T23" s="43">
        <f>年度运营成本测算明细!F24*50%</f>
        <v>0</v>
      </c>
      <c r="U23" s="43"/>
      <c r="V23" s="43"/>
      <c r="W23" s="43"/>
      <c r="X23" s="43"/>
      <c r="Y23" s="43"/>
      <c r="Z23" s="43">
        <f>年度运营成本测算明细!F24*20%</f>
        <v>0</v>
      </c>
      <c r="AA23" s="43">
        <f t="shared" si="7"/>
        <v>0</v>
      </c>
      <c r="AB23" s="43">
        <f>年度运营成本测算明细!G24*30%</f>
        <v>42.4528301886792</v>
      </c>
      <c r="AC23" s="43"/>
      <c r="AD23" s="43"/>
      <c r="AE23" s="43"/>
      <c r="AF23" s="43"/>
      <c r="AG23" s="43">
        <f>年度运营成本测算明细!G24*50%</f>
        <v>70.7547169811321</v>
      </c>
      <c r="AH23" s="43"/>
      <c r="AI23" s="43"/>
      <c r="AJ23" s="43"/>
      <c r="AK23" s="43"/>
      <c r="AL23" s="43"/>
      <c r="AM23" s="43">
        <f>年度运营成本测算明细!G24*20%</f>
        <v>28.3018867924528</v>
      </c>
      <c r="AN23" s="43">
        <f t="shared" si="8"/>
        <v>141.509433962264</v>
      </c>
      <c r="AO23" s="43">
        <f t="shared" si="9"/>
        <v>141.509433962264</v>
      </c>
    </row>
    <row r="24" spans="1:42">
      <c r="A24" t="s">
        <v>133</v>
      </c>
      <c r="B24" s="43">
        <f>年度运营成本测算明细!$D$25/6</f>
        <v>0.629204892966361</v>
      </c>
      <c r="C24" s="43">
        <f>年度运营成本测算明细!$D$25/6</f>
        <v>0.629204892966361</v>
      </c>
      <c r="D24" s="43">
        <f>年度运营成本测算明细!$D$25/6</f>
        <v>0.629204892966361</v>
      </c>
      <c r="E24" s="43">
        <f>年度运营成本测算明细!$D$25/6</f>
        <v>0.629204892966361</v>
      </c>
      <c r="F24" s="43">
        <f>年度运营成本测算明细!$D$25/6</f>
        <v>0.629204892966361</v>
      </c>
      <c r="G24" s="43">
        <f>年度运营成本测算明细!$D$25/6</f>
        <v>0.629204892966361</v>
      </c>
      <c r="H24" s="43">
        <f>年度运营成本测算明细!$E$25/6</f>
        <v>0.959097859327217</v>
      </c>
      <c r="I24" s="43">
        <f>年度运营成本测算明细!$E$25/6</f>
        <v>0.959097859327217</v>
      </c>
      <c r="J24" s="43">
        <f>年度运营成本测算明细!$E$25/6</f>
        <v>0.959097859327217</v>
      </c>
      <c r="K24" s="43">
        <f>年度运营成本测算明细!$E$25/6</f>
        <v>0.959097859327217</v>
      </c>
      <c r="L24" s="43">
        <f>年度运营成本测算明细!$E$25/6</f>
        <v>0.959097859327217</v>
      </c>
      <c r="M24" s="43">
        <f>年度运营成本测算明细!$E$25/6</f>
        <v>0.959097859327217</v>
      </c>
      <c r="N24" s="43">
        <f t="shared" si="6"/>
        <v>9.52981651376147</v>
      </c>
      <c r="O24" s="43">
        <f>年度运营成本测算明细!$F$25/12</f>
        <v>1.68635321100917</v>
      </c>
      <c r="P24" s="43">
        <f>年度运营成本测算明细!$F$25/12</f>
        <v>1.68635321100917</v>
      </c>
      <c r="Q24" s="43">
        <f>年度运营成本测算明细!$F$25/12</f>
        <v>1.68635321100917</v>
      </c>
      <c r="R24" s="43">
        <f>年度运营成本测算明细!$F$25/12</f>
        <v>1.68635321100917</v>
      </c>
      <c r="S24" s="43">
        <f>年度运营成本测算明细!$F$25/12</f>
        <v>1.68635321100917</v>
      </c>
      <c r="T24" s="43">
        <f>年度运营成本测算明细!$F$25/12</f>
        <v>1.68635321100917</v>
      </c>
      <c r="U24" s="43">
        <f>年度运营成本测算明细!$F$25/12</f>
        <v>1.68635321100917</v>
      </c>
      <c r="V24" s="43">
        <f>年度运营成本测算明细!$F$25/12</f>
        <v>1.68635321100917</v>
      </c>
      <c r="W24" s="43">
        <f>年度运营成本测算明细!$F$25/12</f>
        <v>1.68635321100917</v>
      </c>
      <c r="X24" s="43">
        <f>年度运营成本测算明细!$F$25/12</f>
        <v>1.68635321100917</v>
      </c>
      <c r="Y24" s="43">
        <f>年度运营成本测算明细!$F$25/12</f>
        <v>1.68635321100917</v>
      </c>
      <c r="Z24" s="43">
        <f>年度运营成本测算明细!$F$25/12</f>
        <v>1.68635321100917</v>
      </c>
      <c r="AA24" s="43">
        <f t="shared" si="7"/>
        <v>20.23623853211</v>
      </c>
      <c r="AB24" s="43">
        <f>年度运营成本测算明细!$G$25/12</f>
        <v>5.01815749235474</v>
      </c>
      <c r="AC24" s="43">
        <f>年度运营成本测算明细!$G$25/12</f>
        <v>5.01815749235474</v>
      </c>
      <c r="AD24" s="43">
        <f>年度运营成本测算明细!$G$25/12</f>
        <v>5.01815749235474</v>
      </c>
      <c r="AE24" s="43">
        <f>年度运营成本测算明细!$G$25/12</f>
        <v>5.01815749235474</v>
      </c>
      <c r="AF24" s="43">
        <f>年度运营成本测算明细!$G$25/12</f>
        <v>5.01815749235474</v>
      </c>
      <c r="AG24" s="43">
        <f>年度运营成本测算明细!$G$25/12</f>
        <v>5.01815749235474</v>
      </c>
      <c r="AH24" s="43">
        <f>年度运营成本测算明细!$G$25/12</f>
        <v>5.01815749235474</v>
      </c>
      <c r="AI24" s="43">
        <f>年度运营成本测算明细!$G$25/12</f>
        <v>5.01815749235474</v>
      </c>
      <c r="AJ24" s="43">
        <f>年度运营成本测算明细!$G$25/12</f>
        <v>5.01815749235474</v>
      </c>
      <c r="AK24" s="43">
        <f>年度运营成本测算明细!$G$25/12</f>
        <v>5.01815749235474</v>
      </c>
      <c r="AL24" s="43">
        <f>年度运营成本测算明细!$G$25/12</f>
        <v>5.01815749235474</v>
      </c>
      <c r="AM24" s="43">
        <f>年度运营成本测算明细!$G$25/12</f>
        <v>5.01815749235474</v>
      </c>
      <c r="AN24" s="43">
        <f t="shared" si="8"/>
        <v>60.2178899082569</v>
      </c>
      <c r="AO24" s="43">
        <f t="shared" si="9"/>
        <v>89.9839449541284</v>
      </c>
    </row>
    <row r="25" spans="1:42">
      <c r="A25" t="s">
        <v>134</v>
      </c>
      <c r="B25" s="43"/>
      <c r="C25" s="43"/>
      <c r="D25" s="43">
        <f>年度运营成本测算明细!D26</f>
        <v>1.7688679245283</v>
      </c>
      <c r="E25" s="43"/>
      <c r="F25" s="43"/>
      <c r="G25" s="43"/>
      <c r="H25" s="43"/>
      <c r="I25" s="43"/>
      <c r="J25" s="43">
        <f>年度运营成本测算明细!E26</f>
        <v>2.35849056603774</v>
      </c>
      <c r="K25" s="43"/>
      <c r="L25" s="43"/>
      <c r="M25" s="43"/>
      <c r="N25" s="43">
        <f t="shared" si="6"/>
        <v>4.12735849056604</v>
      </c>
      <c r="O25" s="43"/>
      <c r="P25" s="43"/>
      <c r="Q25" s="43"/>
      <c r="R25" s="43"/>
      <c r="S25" s="43"/>
      <c r="T25" s="43"/>
      <c r="U25" s="43"/>
      <c r="V25" s="43"/>
      <c r="W25" s="43"/>
      <c r="X25" s="43">
        <f>年度运营成本测算明细!F26</f>
        <v>5.30660377358491</v>
      </c>
      <c r="Y25" s="43"/>
      <c r="Z25" s="43"/>
      <c r="AA25" s="43">
        <f t="shared" si="7"/>
        <v>5.30660377358491</v>
      </c>
      <c r="AB25" s="43"/>
      <c r="AC25" s="43"/>
      <c r="AD25" s="43"/>
      <c r="AE25" s="43"/>
      <c r="AF25" s="43"/>
      <c r="AG25" s="43"/>
      <c r="AH25" s="43"/>
      <c r="AI25" s="43"/>
      <c r="AJ25" s="43"/>
      <c r="AK25" s="43">
        <f>年度运营成本测算明细!G26</f>
        <v>7.00471698113208</v>
      </c>
      <c r="AL25" s="43"/>
      <c r="AM25" s="43"/>
      <c r="AN25" s="43">
        <f t="shared" si="8"/>
        <v>7.00471698113208</v>
      </c>
      <c r="AO25" s="43">
        <f t="shared" si="9"/>
        <v>16.438679245283</v>
      </c>
    </row>
    <row r="26" spans="1:42">
      <c r="A26" t="s">
        <v>135</v>
      </c>
      <c r="B26" s="43">
        <f>项目预算表!$E$75*1.5/12</f>
        <v>1.25</v>
      </c>
      <c r="C26" s="43">
        <f>项目预算表!$E$75*1.5/12</f>
        <v>1.25</v>
      </c>
      <c r="D26" s="43">
        <f>项目预算表!$E$75*1.5/12</f>
        <v>1.25</v>
      </c>
      <c r="E26" s="43">
        <f>项目预算表!$E$75*1.5/12</f>
        <v>1.25</v>
      </c>
      <c r="F26" s="43">
        <f>项目预算表!$E$75*1.5/12</f>
        <v>1.25</v>
      </c>
      <c r="G26" s="43">
        <f>项目预算表!$E$75*1.5/12</f>
        <v>1.25</v>
      </c>
      <c r="H26" s="43">
        <f>项目预算表!$E$75*1.5/12</f>
        <v>1.25</v>
      </c>
      <c r="I26" s="43">
        <f>项目预算表!$E$75*1.5/12</f>
        <v>1.25</v>
      </c>
      <c r="J26" s="43">
        <f>项目预算表!$E$75*1.5/12</f>
        <v>1.25</v>
      </c>
      <c r="K26" s="43">
        <f>项目预算表!$F$75*1.5/12</f>
        <v>1.875</v>
      </c>
      <c r="L26" s="43">
        <f>项目预算表!$F$75*1.5/12</f>
        <v>1.875</v>
      </c>
      <c r="M26" s="43">
        <f>项目预算表!$F$75*1.5/12</f>
        <v>1.875</v>
      </c>
      <c r="N26" s="43">
        <f t="shared" si="6"/>
        <v>16.875</v>
      </c>
      <c r="O26" s="43">
        <f>项目预算表!$F$75*1.5/12</f>
        <v>1.875</v>
      </c>
      <c r="P26" s="43">
        <f>项目预算表!$F$75*1.5/12</f>
        <v>1.875</v>
      </c>
      <c r="Q26" s="43">
        <f>项目预算表!$F$75*1.5/12</f>
        <v>1.875</v>
      </c>
      <c r="R26" s="43">
        <f>项目预算表!$F$75*1.5/12</f>
        <v>1.875</v>
      </c>
      <c r="S26" s="43">
        <f>项目预算表!$F$75*1.5/12</f>
        <v>1.875</v>
      </c>
      <c r="T26" s="43">
        <f>项目预算表!$F$75*1.5/12</f>
        <v>1.875</v>
      </c>
      <c r="U26" s="43">
        <f>项目预算表!$F$75*1.5/12</f>
        <v>1.875</v>
      </c>
      <c r="V26" s="43">
        <f>项目预算表!$F$75*1.5/12</f>
        <v>1.875</v>
      </c>
      <c r="W26" s="43">
        <f>项目预算表!$F$75*1.5/12</f>
        <v>1.875</v>
      </c>
      <c r="X26" s="43">
        <f>项目预算表!$G$75*1.5/12</f>
        <v>3.125</v>
      </c>
      <c r="Y26" s="43">
        <f>项目预算表!$G$75*1.5/12</f>
        <v>3.125</v>
      </c>
      <c r="Z26" s="43">
        <f>项目预算表!$G$75*1.5/12</f>
        <v>3.125</v>
      </c>
      <c r="AA26" s="43">
        <f t="shared" si="7"/>
        <v>26.25</v>
      </c>
      <c r="AB26" s="43">
        <f>项目预算表!$G$75*1.5/12</f>
        <v>3.125</v>
      </c>
      <c r="AC26" s="43">
        <f>项目预算表!$G$75*1.5/12</f>
        <v>3.125</v>
      </c>
      <c r="AD26" s="43">
        <f>项目预算表!$G$75*1.5/12</f>
        <v>3.125</v>
      </c>
      <c r="AE26" s="43">
        <f>项目预算表!$G$75*1.5/12</f>
        <v>3.125</v>
      </c>
      <c r="AF26" s="43">
        <f>项目预算表!$G$75*1.5/12</f>
        <v>3.125</v>
      </c>
      <c r="AG26" s="43">
        <f>项目预算表!$G$75*1.5/12</f>
        <v>3.125</v>
      </c>
      <c r="AH26" s="43">
        <f>项目预算表!$G$75*1.5/12</f>
        <v>3.125</v>
      </c>
      <c r="AI26" s="43">
        <f>项目预算表!$G$75*1.5/12</f>
        <v>3.125</v>
      </c>
      <c r="AJ26" s="43">
        <f>项目预算表!$G$75*1.5/12</f>
        <v>3.125</v>
      </c>
      <c r="AK26" s="43">
        <f>项目预算表!$H$75*1.5/12</f>
        <v>4.625</v>
      </c>
      <c r="AL26" s="43">
        <f>项目预算表!$H$75*1.5/12</f>
        <v>4.625</v>
      </c>
      <c r="AM26" s="43">
        <f>项目预算表!$H$75*1.5/12</f>
        <v>4.625</v>
      </c>
      <c r="AN26" s="43">
        <f t="shared" si="8"/>
        <v>42</v>
      </c>
      <c r="AO26" s="43">
        <f t="shared" si="9"/>
        <v>85.125</v>
      </c>
    </row>
    <row r="27" s="37" customFormat="1" spans="1:42">
      <c r="A27" s="37" t="s">
        <v>136</v>
      </c>
      <c r="B27" s="42">
        <v>0</v>
      </c>
      <c r="C27" s="42">
        <f>C36*C37*(1-C39)*30/1000</f>
        <v>0</v>
      </c>
      <c r="D27" s="42">
        <f>D36*D37*(1-D39)*30/1000</f>
        <v>0</v>
      </c>
      <c r="E27" s="42">
        <f>E36*E37*(1-E39)*30/1000/1.06</f>
        <v>13.5849056603774</v>
      </c>
      <c r="F27" s="42">
        <f t="shared" ref="F27:M27" si="34">F36*F37*(1-F39)*30/1000/1.06</f>
        <v>27.1698113207547</v>
      </c>
      <c r="G27" s="42">
        <f t="shared" si="34"/>
        <v>54.3396226415094</v>
      </c>
      <c r="H27" s="42">
        <f t="shared" si="34"/>
        <v>72.4528301886792</v>
      </c>
      <c r="I27" s="42">
        <f t="shared" si="34"/>
        <v>90.5660377358491</v>
      </c>
      <c r="J27" s="42">
        <f t="shared" si="34"/>
        <v>104.150943396226</v>
      </c>
      <c r="K27" s="42">
        <f t="shared" si="34"/>
        <v>117.735849056604</v>
      </c>
      <c r="L27" s="42">
        <f t="shared" si="34"/>
        <v>131.320754716981</v>
      </c>
      <c r="M27" s="42">
        <f t="shared" si="34"/>
        <v>144.905660377358</v>
      </c>
      <c r="N27" s="42">
        <f t="shared" si="6"/>
        <v>756.22641509434</v>
      </c>
      <c r="O27" s="42">
        <f>O36*O37*(1-O39)*30/1000/1.06</f>
        <v>224.150943396226</v>
      </c>
      <c r="P27" s="42">
        <f t="shared" ref="P27:Z27" si="35">P36*P37*(1-P39)*30/1000/1.06</f>
        <v>230.943396226415</v>
      </c>
      <c r="Q27" s="42">
        <f t="shared" si="35"/>
        <v>237.735849056604</v>
      </c>
      <c r="R27" s="42">
        <f t="shared" si="35"/>
        <v>244.528301886792</v>
      </c>
      <c r="S27" s="42">
        <f t="shared" si="35"/>
        <v>251.320754716981</v>
      </c>
      <c r="T27" s="42">
        <f t="shared" si="35"/>
        <v>258.11320754717</v>
      </c>
      <c r="U27" s="42">
        <f t="shared" si="35"/>
        <v>264.905660377359</v>
      </c>
      <c r="V27" s="42">
        <f t="shared" si="35"/>
        <v>271.698113207547</v>
      </c>
      <c r="W27" s="42">
        <f t="shared" si="35"/>
        <v>278.490566037736</v>
      </c>
      <c r="X27" s="42">
        <f t="shared" si="35"/>
        <v>285.283018867925</v>
      </c>
      <c r="Y27" s="42">
        <f t="shared" si="35"/>
        <v>292.075471698113</v>
      </c>
      <c r="Z27" s="42">
        <f t="shared" si="35"/>
        <v>298.867924528302</v>
      </c>
      <c r="AA27" s="42">
        <f t="shared" si="7"/>
        <v>3138.11320754717</v>
      </c>
      <c r="AB27" s="42">
        <f>AB36*AB37*(1-AB39)*30/1000/1.06</f>
        <v>434.716981132075</v>
      </c>
      <c r="AC27" s="42">
        <f t="shared" ref="AC27:AM27" si="36">AC36*AC37*(1-AC39)*30/1000/1.06</f>
        <v>561.509433962264</v>
      </c>
      <c r="AD27" s="42">
        <f t="shared" si="36"/>
        <v>688.301886792453</v>
      </c>
      <c r="AE27" s="42">
        <f t="shared" si="36"/>
        <v>815.094339622641</v>
      </c>
      <c r="AF27" s="42">
        <f t="shared" si="36"/>
        <v>996.22641509434</v>
      </c>
      <c r="AG27" s="42">
        <f t="shared" si="36"/>
        <v>1177.35849056604</v>
      </c>
      <c r="AH27" s="42">
        <f t="shared" si="36"/>
        <v>1358.49056603774</v>
      </c>
      <c r="AI27" s="42">
        <f t="shared" si="36"/>
        <v>1539.62264150943</v>
      </c>
      <c r="AJ27" s="42">
        <f t="shared" si="36"/>
        <v>1720.75471698113</v>
      </c>
      <c r="AK27" s="42">
        <f t="shared" si="36"/>
        <v>1901.88679245283</v>
      </c>
      <c r="AL27" s="42">
        <f t="shared" si="36"/>
        <v>2173.58490566038</v>
      </c>
      <c r="AM27" s="42">
        <f t="shared" si="36"/>
        <v>2736.90566037736</v>
      </c>
      <c r="AN27" s="42">
        <f t="shared" si="8"/>
        <v>16104.4528301887</v>
      </c>
      <c r="AO27" s="42">
        <f t="shared" si="9"/>
        <v>19998.7924528302</v>
      </c>
      <c r="AP27" s="42">
        <f>AO27*1.06</f>
        <v>21198.72</v>
      </c>
    </row>
    <row r="28" s="37" customFormat="1" spans="1:42">
      <c r="A28" s="37" t="s">
        <v>137</v>
      </c>
      <c r="B28" s="42">
        <f>B29+B30</f>
        <v>0</v>
      </c>
      <c r="C28" s="42">
        <f t="shared" ref="C28:AO28" si="37">C29+C30</f>
        <v>0.00429017656222953</v>
      </c>
      <c r="D28" s="42">
        <f t="shared" si="37"/>
        <v>0.00429017656222953</v>
      </c>
      <c r="E28" s="42">
        <f t="shared" si="37"/>
        <v>0.00482083693958802</v>
      </c>
      <c r="F28" s="42">
        <f t="shared" si="37"/>
        <v>0.0137656482603427</v>
      </c>
      <c r="G28" s="42">
        <f t="shared" si="37"/>
        <v>0.0232411199584559</v>
      </c>
      <c r="H28" s="42">
        <f t="shared" si="37"/>
        <v>0.0421920633546824</v>
      </c>
      <c r="I28" s="42">
        <f t="shared" si="37"/>
        <v>0.0549249935087416</v>
      </c>
      <c r="J28" s="42">
        <f t="shared" si="37"/>
        <v>0.0675589557728924</v>
      </c>
      <c r="K28" s="42">
        <f t="shared" si="37"/>
        <v>0.077741974640817</v>
      </c>
      <c r="L28" s="42">
        <f t="shared" si="37"/>
        <v>0.086697399169119</v>
      </c>
      <c r="M28" s="42">
        <f t="shared" si="37"/>
        <v>0.096172870867232</v>
      </c>
      <c r="N28" s="42">
        <f t="shared" si="37"/>
        <v>0.47569621559633</v>
      </c>
      <c r="O28" s="42">
        <f t="shared" si="37"/>
        <v>0.105648342565345</v>
      </c>
      <c r="P28" s="42">
        <f t="shared" si="37"/>
        <v>0.163584443699152</v>
      </c>
      <c r="Q28" s="42">
        <f t="shared" si="37"/>
        <v>0.25905441946515</v>
      </c>
      <c r="R28" s="42">
        <f t="shared" si="37"/>
        <v>1.41007471546655</v>
      </c>
      <c r="S28" s="42">
        <f t="shared" si="37"/>
        <v>1.48901150791931</v>
      </c>
      <c r="T28" s="42">
        <f t="shared" si="37"/>
        <v>1.56794830037216</v>
      </c>
      <c r="U28" s="42">
        <f t="shared" si="37"/>
        <v>1.646885092825</v>
      </c>
      <c r="V28" s="42">
        <f t="shared" si="37"/>
        <v>1.72582188527782</v>
      </c>
      <c r="W28" s="42">
        <f t="shared" si="37"/>
        <v>1.80475867773066</v>
      </c>
      <c r="X28" s="42">
        <f t="shared" si="37"/>
        <v>1.44309169659857</v>
      </c>
      <c r="Y28" s="42">
        <f t="shared" si="37"/>
        <v>1.88059924376836</v>
      </c>
      <c r="Z28" s="42">
        <f t="shared" si="37"/>
        <v>1.9579440550891</v>
      </c>
      <c r="AA28" s="42">
        <f t="shared" si="37"/>
        <v>15.4544223807772</v>
      </c>
      <c r="AB28" s="42">
        <f t="shared" si="37"/>
        <v>14.9594328987794</v>
      </c>
      <c r="AC28" s="42">
        <f t="shared" si="37"/>
        <v>0.333703324606197</v>
      </c>
      <c r="AD28" s="42">
        <f t="shared" si="37"/>
        <v>0.409880683096763</v>
      </c>
      <c r="AE28" s="42">
        <f t="shared" si="37"/>
        <v>0.498793890643933</v>
      </c>
      <c r="AF28" s="42">
        <f t="shared" si="37"/>
        <v>6.28475809351752</v>
      </c>
      <c r="AG28" s="42">
        <f t="shared" si="37"/>
        <v>5.20539257508227</v>
      </c>
      <c r="AH28" s="42">
        <f t="shared" si="37"/>
        <v>12.086317103384</v>
      </c>
      <c r="AI28" s="42">
        <f t="shared" si="37"/>
        <v>14.1700718203654</v>
      </c>
      <c r="AJ28" s="42">
        <f t="shared" si="37"/>
        <v>16.2750529524407</v>
      </c>
      <c r="AK28" s="42">
        <f t="shared" si="37"/>
        <v>17.8085171033842</v>
      </c>
      <c r="AL28" s="42">
        <f t="shared" si="37"/>
        <v>21.3757477637613</v>
      </c>
      <c r="AM28" s="42">
        <f t="shared" si="37"/>
        <v>25.8137504996108</v>
      </c>
      <c r="AN28" s="42">
        <f t="shared" si="8"/>
        <v>135.221418708672</v>
      </c>
      <c r="AO28" s="42">
        <f t="shared" si="9"/>
        <v>151.151537305046</v>
      </c>
    </row>
    <row r="29" customFormat="1" spans="1:42">
      <c r="A29" t="s">
        <v>138</v>
      </c>
      <c r="B29" s="43"/>
      <c r="C29" s="43">
        <f>IF(SUM($B$4:C4)-SUM($B$12:C12,$B$17:C17,$B$19:C19,$B$22:C22,$B$27:C27)&gt;0,(SUM($B$4:C4)-SUM($B$12:C12,$B$17:C17,$B$19:C19,$B$22:C22,$B$27:C27))*6%,0)</f>
        <v>0</v>
      </c>
      <c r="D29" s="43">
        <f>IF(SUM($B$4:D4)-SUM($B$12:D12,$B$17:D17,$B$19:C19,$B$22:D22,$B$27:D27)&gt;0,(SUM($B$4:D4)-SUM($B$12:D12,$B$17:D17,$B$19:C19,$B$22:D22,$B$27:D27))*6%,0)-SUM($B$29:C29)</f>
        <v>0</v>
      </c>
      <c r="E29" s="43">
        <f>IF(SUM($B$4:E4)-SUM($B$12:E12,$B$17:E17,$B$19:D19,$B$22:E22,$B$27:E27)&gt;0,(SUM($B$4:E4)-SUM($B$12:E12,$B$17:E17,$B$19:D19,$B$22:E22,$B$27:E27))*6%,0)-SUM($B$29:D29)</f>
        <v>0</v>
      </c>
      <c r="F29" s="43">
        <f>IF(SUM($B$4:F4)-SUM($B$12:F12,$B$17:F17,$B$19:E19,$B$22:F22,$B$27:F27)&gt;0,(SUM($B$4:F4)-SUM($B$12:F12,$B$17:F17,$B$19:E19,$B$22:F22,$B$27:F27))*6%,0)-SUM($B$29:E29)</f>
        <v>0</v>
      </c>
      <c r="G29" s="43">
        <f>IF(SUM($B$4:G4)-SUM($B$12:G12,$B$17:G17,$B$19:F19,$B$22:G22,$B$27:G27)&gt;0,(SUM($B$4:G4)-SUM($B$12:G12,$B$17:G17,$B$19:F19,$B$22:G22,$B$27:G27))*6%,0)-SUM($B$29:F29)</f>
        <v>0</v>
      </c>
      <c r="H29" s="43">
        <f>IF(SUM($B$4:H4)-SUM($B$12:H12,$B$17:H17,$B$19:G19,$B$22:H22,$B$27:H27)&gt;0,(SUM($B$4:H4)-SUM($B$12:H12,$B$17:H17,$B$19:G19,$B$22:H22,$B$27:H27))*6%,0)-SUM($B$29:G29)</f>
        <v>0</v>
      </c>
      <c r="I29" s="43">
        <f>IF(SUM($B$4:I4)-SUM($B$12:I12,$B$17:I17,$B$19:H19,$B$22:I22,$B$27:I27)&gt;0,(SUM($B$4:I4)-SUM($B$12:I12,$B$17:I17,$B$19:H19,$B$22:I22,$B$27:I27))*6%,0)-SUM($B$29:H29)</f>
        <v>0</v>
      </c>
      <c r="J29" s="43">
        <f>IF(SUM($B$4:J4)-SUM($B$12:J12,$B$17:J17,$B$19:I19,$B$22:J22,$B$27:J27)&gt;0,(SUM($B$4:J4)-SUM($B$12:J12,$B$17:J17,$B$19:I19,$B$22:J22,$B$27:J27))*6%,0)-SUM($B$29:I29)</f>
        <v>0</v>
      </c>
      <c r="K29" s="43">
        <f>IF(SUM($B$4:K4)-SUM($B$12:K12,$B$17:K17,$B$19:J19,$B$22:K22,$B$27:K27)&gt;0,(SUM($B$4:K4)-SUM($B$12:K12,$B$17:K17,$B$19:J19,$B$22:K22,$B$27:K27))*6%,0)-SUM($B$29:J29)</f>
        <v>0</v>
      </c>
      <c r="L29" s="43">
        <f>IF(SUM($B$4:L4)-SUM($B$12:L12,$B$17:L17,$B$19:K19,$B$22:L22,$B$27:L27)&gt;0,(SUM($B$4:L4)-SUM($B$12:L12,$B$17:L17,$B$19:K19,$B$22:L22,$B$27:L27))*6%,0)-SUM($B$29:K29)</f>
        <v>0</v>
      </c>
      <c r="M29" s="43">
        <f>IF(SUM($B$4:M4)-SUM($B$12:M12,$B$17:M17,$B$19:L19,$B$22:M22,$B$27:M27)&gt;0,(SUM($B$4:M4)-SUM($B$12:M12,$B$17:M17,$B$19:L19,$B$22:M22,$B$27:M27))*6%,0)-SUM($B$29:L29)</f>
        <v>0</v>
      </c>
      <c r="N29" s="43">
        <f>IF(SUM($N$4:N4)-SUM($N$12:N12,$N$17:N17,$N$19:N19,$N$22:N22,$N$27:N27)&gt;0,(SUM($N$4:N4)-SUM($N$12:N12,$N$17:N17,$N$19:N19,$N$22:N22,$N$27:N27))*6%,0)</f>
        <v>0</v>
      </c>
      <c r="O29" s="43">
        <f>IF(SUM($N$4:O4)-SUM($N$12:O12,$N$17:O17,$N$19:O19,$N$22:O22,$N$27:O27)&gt;0,(SUM($N$4:O4)-SUM($N$12:O12,$N$17:O17,$N$19:O19,$N$22:O22,$N$27:O27))*6%,0)</f>
        <v>0</v>
      </c>
      <c r="P29" s="43">
        <f>IF(SUM($N$4:P4)-SUM($N$12:P12,$N$17:P17,$N$19:P19,$N$22:P22,$N$27:P27)&gt;0,MAX((SUM($N$4:P4)-SUM($N$12:P12,$N$17:P17,$N$19:P19,$N$22:P22,$N$27:P27)*6%-SUM($N$29:O29)),0),0)</f>
        <v>0</v>
      </c>
      <c r="Q29" s="43">
        <f>IF(SUM($N$4:Q4)-SUM($N$12:Q12,$N$17:Q17,$N$19:Q19,$N$22:Q22,$N$27:Q27)&gt;0,MAX(((SUM($N$4:Q4)-SUM($N$12:Q12,$N$17:Q17,$N$19:Q19,$N$22:Q22,$N$27:Q27))*6%-SUM($N$29:P29)),0),0)</f>
        <v>0.0809881859096686</v>
      </c>
      <c r="R29" s="43">
        <f>IF(SUM($N$4:R4)-SUM($N$12:R12,$N$17:R17,$N$19:R19,$N$22:R22,$N$27:R27)&gt;0,MAX(((SUM($N$4:R4)-SUM($N$12:R12,$N$17:R17,$N$19:R19,$N$22:R22,$N$27:R27))*6%-SUM($N$29:Q29)),0),0)</f>
        <v>1.10443201488666</v>
      </c>
      <c r="S29" s="43">
        <f>IF(SUM($N$4:S4)-SUM($N$12:S12,$N$17:S17,$N$19:S19,$N$22:S22,$N$27:S27)&gt;0,MAX(((SUM($N$4:S4)-SUM($N$12:S12,$N$17:S17,$N$19:S19,$N$22:S22,$N$27:S27))*6%-SUM($N$29:R29)),0),0)</f>
        <v>1.17065842998094</v>
      </c>
      <c r="T29" s="43">
        <f>IF(SUM($N$4:T4)-SUM($N$12:T12,$N$17:T17,$N$19:T19,$N$22:T22,$N$27:T27)&gt;0,MAX(((SUM($N$4:T4)-SUM($N$12:T12,$N$17:T17,$N$19:T19,$N$22:T22,$N$27:T27))*6%-SUM($N$29:S29)),0),0)</f>
        <v>1.23688484507529</v>
      </c>
      <c r="U29" s="43">
        <f>IF(SUM($N$4:U4)-SUM($N$12:U12,$N$17:U17,$N$19:U19,$N$22:U22,$N$27:U27)&gt;0,MAX(((SUM($N$4:U4)-SUM($N$12:U12,$N$17:U17,$N$19:U19,$N$22:U22,$N$27:U27))*6%-SUM($N$29:T29)),0),0)</f>
        <v>1.30311126016964</v>
      </c>
      <c r="V29" s="43">
        <f>IF(SUM($N$4:V4)-SUM($N$12:V12,$N$17:V17,$N$19:V19,$N$22:V22,$N$27:V27)&gt;0,MAX(((SUM($N$4:V4)-SUM($N$12:V12,$N$17:V17,$N$19:V19,$N$22:V22,$N$27:V27))*6%-SUM($N$29:U29)),0),0)</f>
        <v>1.36933767526397</v>
      </c>
      <c r="W29" s="43">
        <f>IF(SUM($N$4:W4)-SUM($N$12:W12,$N$17:W17,$N$19:W19,$N$22:W22,$N$27:W27)&gt;0,MAX(((SUM($N$4:W4)-SUM($N$12:W12,$N$17:W17,$N$19:W19,$N$22:W22,$N$27:W27))*6%-SUM($N$29:V29)),0),0)</f>
        <v>1.43556409035832</v>
      </c>
      <c r="X29" s="43">
        <f>IF(SUM($N$4:X4)-SUM($N$12:X12,$N$17:X17,$N$19:X19,$N$22:X22,$N$27:X27)&gt;0,MAX(((SUM($N$4:X4)-SUM($N$12:X12,$N$17:X17,$N$19:X19,$N$22:X22,$N$27:X27))*6%-SUM($N$29:W29)),0),0)</f>
        <v>1.10839427903756</v>
      </c>
      <c r="Y29" s="43">
        <f>IF(SUM($N$4:Y4)-SUM($N$12:Y12,$N$17:Y17,$N$19:Y19,$N$22:Y22,$N$27:Y27)&gt;0,MAX(((SUM($N$4:Y4)-SUM($N$12:Y12,$N$17:Y17,$N$19:Y19,$N$22:Y22,$N$27:Y27))*6%-SUM($N$29:X29)),0),0)</f>
        <v>1.49301692054697</v>
      </c>
      <c r="Z29" s="43">
        <f>IF(SUM($N$4:Z4)-SUM($N$12:Z12,$N$17:Z17,$N$19:Z19,$N$22:Z22,$N$27:Z27)&gt;0,MAX(((SUM($N$4:Z4)-SUM($N$12:Z12,$N$17:Z17,$N$19:Z19,$N$22:Z22,$N$27:Z27))*6%-SUM($N$29:Y29)),0),0)</f>
        <v>1.55924333564129</v>
      </c>
      <c r="AA29" s="43">
        <f>SUM(O29:Z29)</f>
        <v>11.8616310368703</v>
      </c>
      <c r="AB29" s="43">
        <f>IF(SUM($AA$4:AB4)-SUM($AA$12:AB12,$AA$17:AB17,$AA$19:AB19,$AA$22:AB22,$AA$27:AB27)&gt;0,(SUM($AA$4:AB4)-SUM($AA$12:AB12,$AA$17:AB17,$AA$19:AB19,$AA$22:AB22,$AA$27:AB27))*6%,0)</f>
        <v>13.1634626536263</v>
      </c>
      <c r="AC29" s="43">
        <f>IF(SUM($AA$4:AC4)-SUM($AA$12:AC12,$AA$17:AC17,$AA$19:AC19,$AA$22:AC22,$AA$27:AC27)&gt;0,MAX(((SUM($AA$4:AC4)-SUM($AA$12:AC12,$AA$17:AC17,$AA$19:AC19,$AA$22:AC22,$AA$27:AC27))*6%-SUM($AA$29:AB29)),0),0)</f>
        <v>0</v>
      </c>
      <c r="AD29" s="43">
        <f>IF(SUM($AA$4:AD4)-SUM($AA$12:AD12,$AA$17:AD17,$AA$19:AD19,$AA$22:AD22,$AA$27:AD27)&gt;0,MAX(((SUM($AA$4:AD4)-SUM($AA$12:AD12,$AA$17:AD17,$AA$19:AD19,$AA$22:AD22,$AA$27:AD27))*6%-SUM($AA$29:AC29)),0),0)</f>
        <v>0</v>
      </c>
      <c r="AE29" s="43">
        <f>IF(SUM($AA$4:AE4)-SUM($AA$12:AE12,$AA$17:AE17,$AA$19:AE19,$AA$22:AE22,$AA$27:AE27)&gt;0,MAX(((SUM($AA$4:AE4)-SUM($AA$12:AE12,$AA$17:AE17,$AA$19:AE19,$AA$22:AE22,$AA$27:AE27))*6%-SUM($AA$29:AD29)),0),0)</f>
        <v>0</v>
      </c>
      <c r="AF29" s="43">
        <f>IF(SUM($AA$4:AF4)-SUM($AA$12:AF12,$AA$17:AF17,$AA$19:AF19,$AA$22:AF22,$AA$27:AF27)&gt;0,MAX(((SUM($AA$4:AF4)-SUM($AA$12:AF12,$AA$17:AF17,$AA$19:AF19,$AA$22:AF22,$AA$27:AF27))*6%-SUM($AA$29:AE29)),0),0)</f>
        <v>5.08665267439859</v>
      </c>
      <c r="AG29" s="43">
        <f>IF(SUM($AA$4:AG4)-SUM($AA$12:AG12,$AA$17:AG17,$AA$19:AG19,$AA$22:AG22,$AA$27:AG27)&gt;0,MAX(((SUM($AA$4:AG4)-SUM($AA$12:AG12,$AA$17:AG17,$AA$19:AG19,$AA$22:AG22,$AA$27:AG27))*6%-SUM($AA$29:AF29)),0),0)</f>
        <v>4.00952375800593</v>
      </c>
      <c r="AH29" s="43">
        <f>IF(SUM($AA$4:AH4)-SUM($AA$12:AH12,$AA$17:AH17,$AA$19:AH19,$AA$22:AH22,$AA$27:AH27)&gt;0,MAX(((SUM($AA$4:AH4)-SUM($AA$12:AH12,$AA$17:AH17,$AA$19:AH19,$AA$22:AH22,$AA$27:AH27))*6%-SUM($AA$29:AG29)),0),0)</f>
        <v>10.0208445127228</v>
      </c>
      <c r="AI29" s="43">
        <f>IF(SUM($AA$4:AI4)-SUM($AA$12:AI12,$AA$17:AI17,$AA$19:AI19,$AA$22:AI22,$AA$27:AI27)&gt;0,MAX(((SUM($AA$4:AI4)-SUM($AA$12:AI12,$AA$17:AI17,$AA$19:AI19,$AA$22:AI22,$AA$27:AI27))*6%-SUM($AA$29:AH29)),0),0)</f>
        <v>11.786882248572</v>
      </c>
      <c r="AJ29" s="43">
        <f>IF(SUM($AA$4:AJ4)-SUM($AA$12:AJ12,$AA$17:AJ17,$AA$19:AJ19,$AA$22:AJ22,$AA$27:AJ27)&gt;0,MAX(((SUM($AA$4:AJ4)-SUM($AA$12:AJ12,$AA$17:AJ17,$AA$19:AJ19,$AA$22:AJ22,$AA$27:AJ27))*6%-SUM($AA$29:AI29)),0),0)</f>
        <v>13.552919984421</v>
      </c>
      <c r="AK29" s="43">
        <f>IF(SUM($AA$4:AK4)-SUM($AA$12:AK12,$AA$17:AK17,$AA$19:AK19,$AA$22:AK22,$AA$27:AK27)&gt;0,MAX(((SUM($AA$4:AK4)-SUM($AA$12:AK12,$AA$17:AK17,$AA$19:AK19,$AA$22:AK22,$AA$27:AK27))*6%-SUM($AA$29:AJ29)),0),0)</f>
        <v>14.8086747014022</v>
      </c>
      <c r="AL29" s="43">
        <f>IF(SUM($AA$4:AL4)-SUM($AA$12:AL12,$AA$17:AL17,$AA$19:AL19,$AA$22:AL22,$AA$27:AL27)&gt;0,MAX(((SUM($AA$4:AL4)-SUM($AA$12:AL12,$AA$17:AL17,$AA$19:AL19,$AA$22:AL22,$AA$27:AL27))*6%-SUM($AA$29:AK29)),0),0)</f>
        <v>17.8780143240435</v>
      </c>
      <c r="AM29" s="43">
        <f>IF(SUM($AA$4:AM4)-SUM($AA$12:AM12,$AA$17:AM17,$AA$19:AM19,$AA$22:AM22,$AA$27:AM27)&gt;0,MAX(((SUM($AA$4:AM4)-SUM($AA$12:AM12,$AA$17:AM17,$AA$19:AM19,$AA$22:AM22,$AA$27:AM27))*6%-SUM($AA$29:AL29)),0),0)</f>
        <v>21.6722784749873</v>
      </c>
      <c r="AN29" s="43">
        <f t="shared" si="8"/>
        <v>111.979253332179</v>
      </c>
      <c r="AO29" s="43">
        <f t="shared" si="9"/>
        <v>123.84088436905</v>
      </c>
    </row>
    <row r="30" customFormat="1" spans="1:42">
      <c r="A30" t="s">
        <v>139</v>
      </c>
      <c r="B30" s="43"/>
      <c r="C30" s="43">
        <f>C29*12%+SUM(B4,B12,B17,B19,B22,B27)*0.03%</f>
        <v>0.00429017656222953</v>
      </c>
      <c r="D30" s="43">
        <f t="shared" ref="D30:M30" si="38">D29*12%+SUM(C4,C12,C17,C19,C22,C27)*0.03%</f>
        <v>0.00429017656222953</v>
      </c>
      <c r="E30" s="43">
        <f t="shared" si="38"/>
        <v>0.00482083693958802</v>
      </c>
      <c r="F30" s="43">
        <f t="shared" si="38"/>
        <v>0.0137656482603427</v>
      </c>
      <c r="G30" s="43">
        <f t="shared" si="38"/>
        <v>0.0232411199584559</v>
      </c>
      <c r="H30" s="43">
        <f t="shared" si="38"/>
        <v>0.0421920633546824</v>
      </c>
      <c r="I30" s="43">
        <f t="shared" si="38"/>
        <v>0.0549249935087416</v>
      </c>
      <c r="J30" s="43">
        <f t="shared" si="38"/>
        <v>0.0675589557728924</v>
      </c>
      <c r="K30" s="43">
        <f t="shared" si="38"/>
        <v>0.077741974640817</v>
      </c>
      <c r="L30" s="43">
        <f t="shared" si="38"/>
        <v>0.086697399169119</v>
      </c>
      <c r="M30" s="43">
        <f t="shared" si="38"/>
        <v>0.096172870867232</v>
      </c>
      <c r="N30" s="43">
        <f>SUM(B30:M30)</f>
        <v>0.47569621559633</v>
      </c>
      <c r="O30" s="43">
        <f>O29*12%+SUM(M4,M12,M17,M19,M22,M27)*0.03%</f>
        <v>0.105648342565345</v>
      </c>
      <c r="P30" s="43">
        <f>P29*12%+SUM(O4,O12,O17,O19,O22,O27)*0.03%</f>
        <v>0.163584443699152</v>
      </c>
      <c r="Q30" s="43">
        <f t="shared" ref="Q30:Z30" si="39">Q29*12%+SUM(P4,P12,P17,P19,P22,P27)*0.03%</f>
        <v>0.178066233555482</v>
      </c>
      <c r="R30" s="43">
        <f t="shared" si="39"/>
        <v>0.30564270057989</v>
      </c>
      <c r="S30" s="43">
        <f t="shared" si="39"/>
        <v>0.318353077938374</v>
      </c>
      <c r="T30" s="43">
        <f t="shared" si="39"/>
        <v>0.331063455296866</v>
      </c>
      <c r="U30" s="43">
        <f t="shared" si="39"/>
        <v>0.343773832655358</v>
      </c>
      <c r="V30" s="43">
        <f t="shared" si="39"/>
        <v>0.356484210013847</v>
      </c>
      <c r="W30" s="43">
        <f t="shared" si="39"/>
        <v>0.369194587372339</v>
      </c>
      <c r="X30" s="43">
        <f t="shared" si="39"/>
        <v>0.334697417561017</v>
      </c>
      <c r="Y30" s="43">
        <f t="shared" si="39"/>
        <v>0.387582323221392</v>
      </c>
      <c r="Z30" s="43">
        <f t="shared" si="39"/>
        <v>0.398700719447805</v>
      </c>
      <c r="AA30" s="43">
        <f>SUM(O30:Z30)</f>
        <v>3.59279134390687</v>
      </c>
      <c r="AB30" s="43">
        <f>AB29*12%+SUM(Z4,Z12,Z17,Z19,Z22,Z27)*0.03%</f>
        <v>1.79597024515317</v>
      </c>
      <c r="AC30" s="43">
        <f t="shared" ref="AC30:AM30" si="40">AC29*12%+SUM(AB4,AB12,AB17,AB19,AB22,AB27)*0.03%</f>
        <v>0.333703324606197</v>
      </c>
      <c r="AD30" s="43">
        <f t="shared" si="40"/>
        <v>0.409880683096763</v>
      </c>
      <c r="AE30" s="43">
        <f t="shared" si="40"/>
        <v>0.498793890643933</v>
      </c>
      <c r="AF30" s="43">
        <f t="shared" si="40"/>
        <v>1.19810541911893</v>
      </c>
      <c r="AG30" s="43">
        <f t="shared" si="40"/>
        <v>1.19586881707634</v>
      </c>
      <c r="AH30" s="43">
        <f t="shared" si="40"/>
        <v>2.06547259066123</v>
      </c>
      <c r="AI30" s="43">
        <f t="shared" si="40"/>
        <v>2.38318957179333</v>
      </c>
      <c r="AJ30" s="43">
        <f t="shared" si="40"/>
        <v>2.72213296801973</v>
      </c>
      <c r="AK30" s="43">
        <f t="shared" si="40"/>
        <v>2.999842401982</v>
      </c>
      <c r="AL30" s="43">
        <f t="shared" si="40"/>
        <v>3.49773343971783</v>
      </c>
      <c r="AM30" s="43">
        <f t="shared" si="40"/>
        <v>4.14147202462353</v>
      </c>
      <c r="AN30" s="43">
        <f t="shared" si="8"/>
        <v>23.242165376493</v>
      </c>
      <c r="AO30" s="43">
        <f t="shared" si="9"/>
        <v>27.3106529359962</v>
      </c>
      <c r="AP30" s="45"/>
    </row>
    <row r="31" spans="1:42">
      <c r="A31" t="s">
        <v>140</v>
      </c>
      <c r="B31" s="43">
        <f>B3-B6-B28</f>
        <v>941.116078125902</v>
      </c>
      <c r="C31" s="43">
        <f t="shared" ref="C31:AO31" si="41">C3-C6-C28</f>
        <v>-58.8882120506606</v>
      </c>
      <c r="D31" s="43">
        <f t="shared" si="41"/>
        <v>-60.6570799751889</v>
      </c>
      <c r="E31" s="43">
        <f t="shared" si="41"/>
        <v>-56.511384220472</v>
      </c>
      <c r="F31" s="43">
        <f t="shared" si="41"/>
        <v>-54.1429705412267</v>
      </c>
      <c r="G31" s="43">
        <f t="shared" si="41"/>
        <v>-49.3977290317927</v>
      </c>
      <c r="H31" s="43">
        <f t="shared" si="41"/>
        <v>-46.576761620795</v>
      </c>
      <c r="I31" s="43">
        <f t="shared" si="41"/>
        <v>-43.4196832301947</v>
      </c>
      <c r="J31" s="43">
        <f t="shared" si="41"/>
        <v>-43.4134492679303</v>
      </c>
      <c r="K31" s="43">
        <f t="shared" si="41"/>
        <v>-60.9794498968608</v>
      </c>
      <c r="L31" s="43">
        <f t="shared" si="41"/>
        <v>-58.6110468308238</v>
      </c>
      <c r="M31" s="43">
        <f t="shared" si="41"/>
        <v>-56.2431638119556</v>
      </c>
      <c r="N31" s="43">
        <f t="shared" si="41"/>
        <v>352.275147647997</v>
      </c>
      <c r="O31" s="43">
        <f t="shared" si="41"/>
        <v>1448.74023115083</v>
      </c>
      <c r="P31" s="43">
        <f t="shared" si="41"/>
        <v>-50.2139313654001</v>
      </c>
      <c r="Q31" s="43">
        <f t="shared" si="41"/>
        <v>-49.2056277562602</v>
      </c>
      <c r="R31" s="43">
        <f t="shared" si="41"/>
        <v>-49.2528744673557</v>
      </c>
      <c r="S31" s="43">
        <f t="shared" si="41"/>
        <v>-48.2280376749036</v>
      </c>
      <c r="T31" s="43">
        <f t="shared" si="41"/>
        <v>-47.2032008824509</v>
      </c>
      <c r="U31" s="43">
        <f t="shared" si="41"/>
        <v>-46.1783640899979</v>
      </c>
      <c r="V31" s="43">
        <f t="shared" si="41"/>
        <v>-45.1535272975448</v>
      </c>
      <c r="W31" s="43">
        <f t="shared" si="41"/>
        <v>-44.1286905050919</v>
      </c>
      <c r="X31" s="43">
        <f t="shared" si="41"/>
        <v>-93.8031870459719</v>
      </c>
      <c r="Y31" s="43">
        <f t="shared" si="41"/>
        <v>-87.830317234652</v>
      </c>
      <c r="Z31" s="43">
        <f t="shared" si="41"/>
        <v>-86.8038884610669</v>
      </c>
      <c r="AA31" s="43">
        <f t="shared" si="41"/>
        <v>800.738584370132</v>
      </c>
      <c r="AB31" s="43">
        <f t="shared" si="41"/>
        <v>839.788604577419</v>
      </c>
      <c r="AC31" s="43">
        <f t="shared" si="41"/>
        <v>-82.5290620748227</v>
      </c>
      <c r="AD31" s="43">
        <f t="shared" si="41"/>
        <v>-62.0014658484076</v>
      </c>
      <c r="AE31" s="43">
        <f t="shared" si="41"/>
        <v>-41.486605471049</v>
      </c>
      <c r="AF31" s="43">
        <f t="shared" si="41"/>
        <v>-17.8386074097717</v>
      </c>
      <c r="AG31" s="43">
        <f t="shared" si="41"/>
        <v>-58.0799966083176</v>
      </c>
      <c r="AH31" s="43">
        <f t="shared" si="41"/>
        <v>35.2277581086636</v>
      </c>
      <c r="AI31" s="43">
        <f t="shared" si="41"/>
        <v>62.5779656558334</v>
      </c>
      <c r="AJ31" s="43">
        <f t="shared" si="41"/>
        <v>89.9069467879092</v>
      </c>
      <c r="AK31" s="43">
        <f t="shared" si="41"/>
        <v>51.2527279199843</v>
      </c>
      <c r="AL31" s="43">
        <f t="shared" si="41"/>
        <v>98.8411576369655</v>
      </c>
      <c r="AM31" s="43">
        <f t="shared" si="41"/>
        <v>157.640890750179</v>
      </c>
      <c r="AN31" s="43">
        <f t="shared" si="41"/>
        <v>1073.30031402458</v>
      </c>
      <c r="AO31" s="43">
        <f t="shared" si="41"/>
        <v>2226.3140460427</v>
      </c>
    </row>
    <row r="32" spans="1:42">
      <c r="A32" t="s">
        <v>141</v>
      </c>
      <c r="B32" s="43"/>
      <c r="C32" s="43">
        <f>B31+C31</f>
        <v>882.227866075241</v>
      </c>
      <c r="D32" s="43">
        <f>C32+D31</f>
        <v>821.570786100052</v>
      </c>
      <c r="E32" s="43">
        <f>D32+E31</f>
        <v>765.05940187958</v>
      </c>
      <c r="F32" s="43">
        <f t="shared" ref="F32:M32" si="42">E32+F31</f>
        <v>710.916431338354</v>
      </c>
      <c r="G32" s="43">
        <f t="shared" si="42"/>
        <v>661.518702306561</v>
      </c>
      <c r="H32" s="43">
        <f t="shared" si="42"/>
        <v>614.941940685766</v>
      </c>
      <c r="I32" s="43">
        <f t="shared" si="42"/>
        <v>571.522257455571</v>
      </c>
      <c r="J32" s="43">
        <f t="shared" si="42"/>
        <v>528.108808187641</v>
      </c>
      <c r="K32" s="43">
        <f t="shared" si="42"/>
        <v>467.12935829078</v>
      </c>
      <c r="L32" s="43">
        <f t="shared" si="42"/>
        <v>408.518311459956</v>
      </c>
      <c r="M32" s="43">
        <f t="shared" si="42"/>
        <v>352.275147648001</v>
      </c>
      <c r="N32" s="43"/>
      <c r="O32" s="43">
        <f>M32+O31</f>
        <v>1801.01537879883</v>
      </c>
      <c r="P32" s="43">
        <f>O32+P31</f>
        <v>1750.80144743343</v>
      </c>
      <c r="Q32" s="43">
        <f>P32+Q31</f>
        <v>1701.59581967717</v>
      </c>
      <c r="R32" s="43">
        <f t="shared" ref="Q32:Z32" si="43">Q32+R31</f>
        <v>1652.34294520981</v>
      </c>
      <c r="S32" s="43">
        <f t="shared" si="43"/>
        <v>1604.11490753491</v>
      </c>
      <c r="T32" s="43">
        <f t="shared" si="43"/>
        <v>1556.91170665246</v>
      </c>
      <c r="U32" s="43">
        <f t="shared" si="43"/>
        <v>1510.73334256246</v>
      </c>
      <c r="V32" s="43">
        <f t="shared" si="43"/>
        <v>1465.57981526492</v>
      </c>
      <c r="W32" s="43">
        <f t="shared" si="43"/>
        <v>1421.45112475982</v>
      </c>
      <c r="X32" s="43">
        <f t="shared" si="43"/>
        <v>1327.64793771385</v>
      </c>
      <c r="Y32" s="43">
        <f t="shared" si="43"/>
        <v>1239.8176204792</v>
      </c>
      <c r="Z32" s="43">
        <f t="shared" si="43"/>
        <v>1153.01373201813</v>
      </c>
      <c r="AA32" s="43"/>
      <c r="AB32" s="43">
        <f>Z32+AB31</f>
        <v>1992.80233659555</v>
      </c>
      <c r="AC32" s="43">
        <f>AB32+AC31</f>
        <v>1910.27327452073</v>
      </c>
      <c r="AD32" s="43">
        <f t="shared" ref="AD32:AM32" si="44">AC32+AD31</f>
        <v>1848.27180867232</v>
      </c>
      <c r="AE32" s="43">
        <f t="shared" si="44"/>
        <v>1806.78520320127</v>
      </c>
      <c r="AF32" s="43">
        <f t="shared" si="44"/>
        <v>1788.9465957915</v>
      </c>
      <c r="AG32" s="43">
        <f t="shared" si="44"/>
        <v>1730.86659918318</v>
      </c>
      <c r="AH32" s="43">
        <f t="shared" si="44"/>
        <v>1766.09435729185</v>
      </c>
      <c r="AI32" s="43">
        <f t="shared" si="44"/>
        <v>1828.67232294768</v>
      </c>
      <c r="AJ32" s="43">
        <f t="shared" si="44"/>
        <v>1918.57926973559</v>
      </c>
      <c r="AK32" s="43">
        <f t="shared" si="44"/>
        <v>1969.83199765557</v>
      </c>
      <c r="AL32" s="43">
        <f t="shared" si="44"/>
        <v>2068.67315529254</v>
      </c>
      <c r="AM32" s="43">
        <f t="shared" si="44"/>
        <v>2226.31404604272</v>
      </c>
      <c r="AN32" s="43"/>
      <c r="AO32" s="43"/>
    </row>
    <row r="33" spans="1:44">
      <c r="A33" t="s">
        <v>142</v>
      </c>
      <c r="C33" s="43">
        <f>SUM(D7:F7,D12:F12,D17:F17,D22:F22,D28:F28)</f>
        <v>178.443510208586</v>
      </c>
      <c r="D33" s="43">
        <f t="shared" ref="D33:J33" si="45">SUM(E7:G7,E12:G12,E17:G17,E22:G22,E28:G28)</f>
        <v>176.693593227454</v>
      </c>
      <c r="E33" s="43">
        <f t="shared" si="45"/>
        <v>177.060857420229</v>
      </c>
      <c r="F33" s="43">
        <f t="shared" si="45"/>
        <v>177.431909731839</v>
      </c>
      <c r="G33" s="43">
        <f t="shared" si="45"/>
        <v>180.164611100052</v>
      </c>
      <c r="H33" s="43">
        <f t="shared" si="45"/>
        <v>202.491827678005</v>
      </c>
      <c r="I33" s="43">
        <f t="shared" si="45"/>
        <v>224.815266750332</v>
      </c>
      <c r="J33" s="43">
        <f t="shared" si="45"/>
        <v>244.777056766055</v>
      </c>
      <c r="K33" s="43">
        <f>SUM(L7:O7,L12:O12,L17:O17,L22:O22,L28:O28)-$N$7-$N$12-$N$17-$N$22-$N$28</f>
        <v>250.878130435347</v>
      </c>
      <c r="L33" s="43">
        <f>SUM(M7:P7,M12:P12,M17:P17,M22:P22,M28:P28)-$N$7-$N$12-$N$17-$N$22-$N$28</f>
        <v>257.028184781245</v>
      </c>
      <c r="M33" s="43">
        <f>SUM(O7:Q7,O12:Q12,O17:Q17,O22:Q22,O28:Q28)</f>
        <v>263.26423363121</v>
      </c>
      <c r="O33" s="43">
        <f>SUM(P7:R7,P12:R12,P17:R17,P22:R22,P28:R28)</f>
        <v>264.568660004111</v>
      </c>
      <c r="P33" s="43">
        <f>SUM(Q7:S7,Q12:S12,Q17:S17,Q22:S22,Q28:S28)</f>
        <v>265.894087068331</v>
      </c>
      <c r="Q33" s="43">
        <f t="shared" ref="Q33:W33" si="46">SUM(R7:T7,R12:T12,R17:T17,R22:T22,R28:T28)</f>
        <v>267.202980949239</v>
      </c>
      <c r="R33" s="43">
        <f t="shared" si="46"/>
        <v>267.439791326597</v>
      </c>
      <c r="S33" s="43">
        <f t="shared" si="46"/>
        <v>267.676601703955</v>
      </c>
      <c r="T33" s="43">
        <f t="shared" si="46"/>
        <v>267.913412081314</v>
      </c>
      <c r="U33" s="43">
        <f t="shared" si="46"/>
        <v>318.849555792005</v>
      </c>
      <c r="V33" s="43">
        <f t="shared" si="46"/>
        <v>364.837666483829</v>
      </c>
      <c r="W33" s="43">
        <f t="shared" si="46"/>
        <v>410.82418519452</v>
      </c>
      <c r="X33" s="43">
        <f>SUM(Y7:AB7,Y12:AB12,Y17:AB17,Y22:AB22,Y28:AB28)-SUM($AA$7,$AA$12,$AA$17,$AA$22)</f>
        <v>516.96983481983</v>
      </c>
      <c r="Y33" s="43">
        <f>SUM(Z7:AC7,Z12:AC12,Z17:AC17,Z22:AC22,Z28:AC28)-SUM($AA$7,$AA$12,$AA$17,$AA$22)</f>
        <v>555.451598527926</v>
      </c>
      <c r="Z33" s="43">
        <f>SUM(AB7:AD7,AB12:AD12,AB17:AD17,AB22:AD22,AB28:AD28)</f>
        <v>578.477772402415</v>
      </c>
      <c r="AB33" s="43">
        <f>SUM(AC7:AE7,AC12:AE12,AC17:AE17,AC22:AE22,AC28:AE28)</f>
        <v>521.5643032056</v>
      </c>
      <c r="AC33" s="43">
        <f t="shared" ref="AC33:AJ33" si="47">SUM(AD7:AF7,AD12:AF12,AD17:AF17,AD22:AF22,AD28:AF28)</f>
        <v>527.515357974511</v>
      </c>
      <c r="AD33" s="43">
        <f t="shared" si="47"/>
        <v>603.065586847629</v>
      </c>
      <c r="AE33" s="43">
        <f t="shared" si="47"/>
        <v>614.653110060369</v>
      </c>
      <c r="AF33" s="43">
        <f t="shared" si="47"/>
        <v>622.538423787217</v>
      </c>
      <c r="AG33" s="43">
        <f t="shared" si="47"/>
        <v>562.853367183443</v>
      </c>
      <c r="AH33" s="43">
        <f t="shared" si="47"/>
        <v>635.130284164575</v>
      </c>
      <c r="AI33" s="43">
        <f t="shared" si="47"/>
        <v>701.885960107971</v>
      </c>
      <c r="AJ33" s="43">
        <f t="shared" si="47"/>
        <v>799.276544447594</v>
      </c>
      <c r="AK33" s="43">
        <f>$AJ$33</f>
        <v>799.276544447594</v>
      </c>
      <c r="AL33" s="43">
        <f>$AJ$33</f>
        <v>799.276544447594</v>
      </c>
      <c r="AM33" s="43">
        <f>$AJ$33</f>
        <v>799.276544447594</v>
      </c>
      <c r="AN33" s="43"/>
    </row>
    <row r="34" spans="1:44">
      <c r="A34" t="s">
        <v>143</v>
      </c>
      <c r="B34" s="46"/>
      <c r="C34" s="46" t="str">
        <f>IF(C32&gt;C33,"","是")</f>
        <v/>
      </c>
      <c r="D34" s="46" t="str">
        <f t="shared" ref="D34:M34" si="48">IF(D32&gt;D33,"","是")</f>
        <v/>
      </c>
      <c r="E34" s="46" t="str">
        <f t="shared" si="48"/>
        <v/>
      </c>
      <c r="F34" s="46" t="str">
        <f t="shared" si="48"/>
        <v/>
      </c>
      <c r="G34" s="46" t="str">
        <f t="shared" si="48"/>
        <v/>
      </c>
      <c r="H34" s="46" t="str">
        <f t="shared" si="48"/>
        <v/>
      </c>
      <c r="I34" s="46" t="str">
        <f t="shared" si="48"/>
        <v/>
      </c>
      <c r="J34" s="46" t="str">
        <f t="shared" si="48"/>
        <v/>
      </c>
      <c r="K34" s="46" t="str">
        <f t="shared" si="48"/>
        <v/>
      </c>
      <c r="L34" s="46" t="str">
        <f t="shared" si="48"/>
        <v/>
      </c>
      <c r="M34" s="46" t="str">
        <f t="shared" si="48"/>
        <v/>
      </c>
      <c r="N34" s="46"/>
      <c r="O34" s="46" t="str">
        <f>IF(O32&gt;O33,"","是")</f>
        <v/>
      </c>
      <c r="P34" s="46" t="str">
        <f t="shared" ref="P34:Z34" si="49">IF(P32&gt;P33,"","是")</f>
        <v/>
      </c>
      <c r="Q34" s="46" t="str">
        <f t="shared" si="49"/>
        <v/>
      </c>
      <c r="R34" s="46" t="str">
        <f t="shared" si="49"/>
        <v/>
      </c>
      <c r="S34" s="46" t="str">
        <f t="shared" si="49"/>
        <v/>
      </c>
      <c r="T34" s="46" t="str">
        <f t="shared" si="49"/>
        <v/>
      </c>
      <c r="U34" s="46" t="str">
        <f t="shared" si="49"/>
        <v/>
      </c>
      <c r="V34" s="46" t="str">
        <f t="shared" si="49"/>
        <v/>
      </c>
      <c r="W34" s="46" t="str">
        <f t="shared" si="49"/>
        <v/>
      </c>
      <c r="X34" s="46" t="str">
        <f t="shared" si="49"/>
        <v/>
      </c>
      <c r="Y34" s="46" t="str">
        <f t="shared" si="49"/>
        <v/>
      </c>
      <c r="Z34" s="46" t="str">
        <f t="shared" si="49"/>
        <v/>
      </c>
      <c r="AA34" s="46"/>
      <c r="AB34" s="46" t="str">
        <f>IF(AB32&gt;AB33,"","是")</f>
        <v/>
      </c>
      <c r="AC34" s="46" t="str">
        <f t="shared" ref="AC34:AM34" si="50">IF(AC32&gt;AC33,"","是")</f>
        <v/>
      </c>
      <c r="AD34" s="46" t="str">
        <f t="shared" si="50"/>
        <v/>
      </c>
      <c r="AE34" s="46" t="str">
        <f t="shared" si="50"/>
        <v/>
      </c>
      <c r="AF34" s="46" t="str">
        <f t="shared" si="50"/>
        <v/>
      </c>
      <c r="AG34" s="46" t="str">
        <f t="shared" si="50"/>
        <v/>
      </c>
      <c r="AH34" s="46" t="str">
        <f t="shared" si="50"/>
        <v/>
      </c>
      <c r="AI34" s="46" t="str">
        <f t="shared" si="50"/>
        <v/>
      </c>
      <c r="AJ34" s="46" t="str">
        <f t="shared" si="50"/>
        <v/>
      </c>
      <c r="AK34" s="46" t="str">
        <f t="shared" si="50"/>
        <v/>
      </c>
      <c r="AL34" s="46" t="str">
        <f t="shared" si="50"/>
        <v/>
      </c>
      <c r="AM34" s="46" t="str">
        <f t="shared" si="50"/>
        <v/>
      </c>
      <c r="AN34" s="43"/>
    </row>
    <row r="35" spans="1:44">
      <c r="AM35" s="47">
        <f>AM31/(AM4*0.2)</f>
        <v>0.230392874745188</v>
      </c>
      <c r="AN35" s="43"/>
    </row>
    <row r="36" spans="1:44">
      <c r="A36" t="s">
        <v>144</v>
      </c>
      <c r="E36">
        <v>30</v>
      </c>
      <c r="F36">
        <v>60</v>
      </c>
      <c r="G36">
        <v>120</v>
      </c>
      <c r="H36">
        <v>160</v>
      </c>
      <c r="I36">
        <v>200</v>
      </c>
      <c r="J36">
        <v>230</v>
      </c>
      <c r="K36">
        <v>260</v>
      </c>
      <c r="L36">
        <v>290</v>
      </c>
      <c r="M36">
        <v>320</v>
      </c>
      <c r="O36">
        <v>330</v>
      </c>
      <c r="P36">
        <v>340</v>
      </c>
      <c r="Q36">
        <v>350</v>
      </c>
      <c r="R36">
        <v>360</v>
      </c>
      <c r="S36">
        <v>370</v>
      </c>
      <c r="T36">
        <v>380</v>
      </c>
      <c r="U36">
        <v>390</v>
      </c>
      <c r="V36">
        <v>400</v>
      </c>
      <c r="W36">
        <v>410</v>
      </c>
      <c r="X36">
        <v>420</v>
      </c>
      <c r="Y36">
        <v>430</v>
      </c>
      <c r="Z36">
        <v>440</v>
      </c>
      <c r="AB36">
        <v>480</v>
      </c>
      <c r="AC36">
        <v>620</v>
      </c>
      <c r="AD36">
        <v>760</v>
      </c>
      <c r="AE36">
        <v>900</v>
      </c>
      <c r="AF36">
        <v>1100</v>
      </c>
      <c r="AG36">
        <v>1300</v>
      </c>
      <c r="AH36">
        <v>1500</v>
      </c>
      <c r="AI36">
        <v>1700</v>
      </c>
      <c r="AJ36">
        <v>1900</v>
      </c>
      <c r="AK36">
        <v>2100</v>
      </c>
      <c r="AL36">
        <v>2400</v>
      </c>
      <c r="AM36">
        <v>3022</v>
      </c>
      <c r="AN36" s="43"/>
    </row>
    <row r="37" spans="1:44">
      <c r="A37" t="s">
        <v>28</v>
      </c>
      <c r="B37" s="43">
        <f>项目预算表!$D$20</f>
        <v>20</v>
      </c>
      <c r="C37" s="43">
        <f>项目预算表!$D$20</f>
        <v>20</v>
      </c>
      <c r="D37" s="43">
        <f>项目预算表!$D$20</f>
        <v>20</v>
      </c>
      <c r="E37" s="43">
        <f>项目预算表!$D$20</f>
        <v>20</v>
      </c>
      <c r="F37" s="43">
        <f>项目预算表!$D$20</f>
        <v>20</v>
      </c>
      <c r="G37" s="43">
        <f>项目预算表!$D$20</f>
        <v>20</v>
      </c>
      <c r="H37" s="43">
        <f>项目预算表!$E$20</f>
        <v>20</v>
      </c>
      <c r="I37" s="43">
        <f>项目预算表!$E$20</f>
        <v>20</v>
      </c>
      <c r="J37" s="43">
        <f>项目预算表!$E$20</f>
        <v>20</v>
      </c>
      <c r="K37" s="43">
        <f>项目预算表!$E$20</f>
        <v>20</v>
      </c>
      <c r="L37" s="43">
        <f>项目预算表!$E$20</f>
        <v>20</v>
      </c>
      <c r="M37" s="43">
        <f>项目预算表!$E$20</f>
        <v>20</v>
      </c>
      <c r="N37" s="43"/>
      <c r="O37" s="43">
        <f>项目预算表!$F$20</f>
        <v>30</v>
      </c>
      <c r="P37" s="43">
        <f>项目预算表!$F$20</f>
        <v>30</v>
      </c>
      <c r="Q37" s="43">
        <f>项目预算表!$F$20</f>
        <v>30</v>
      </c>
      <c r="R37" s="43">
        <f>项目预算表!$F$20</f>
        <v>30</v>
      </c>
      <c r="S37" s="43">
        <f>项目预算表!$F$20</f>
        <v>30</v>
      </c>
      <c r="T37" s="43">
        <f>项目预算表!$F$20</f>
        <v>30</v>
      </c>
      <c r="U37" s="43">
        <f>项目预算表!$F$20</f>
        <v>30</v>
      </c>
      <c r="V37" s="43">
        <f>项目预算表!$F$20</f>
        <v>30</v>
      </c>
      <c r="W37" s="43">
        <f>项目预算表!$F$20</f>
        <v>30</v>
      </c>
      <c r="X37" s="43">
        <f>项目预算表!$F$20</f>
        <v>30</v>
      </c>
      <c r="Y37" s="43">
        <f>项目预算表!$F$20</f>
        <v>30</v>
      </c>
      <c r="Z37" s="43">
        <f>项目预算表!$F$20</f>
        <v>30</v>
      </c>
      <c r="AA37" s="43"/>
      <c r="AB37" s="43">
        <f>项目预算表!$G$20</f>
        <v>40</v>
      </c>
      <c r="AC37" s="43">
        <f>项目预算表!$G$20</f>
        <v>40</v>
      </c>
      <c r="AD37" s="43">
        <f>项目预算表!$G$20</f>
        <v>40</v>
      </c>
      <c r="AE37" s="43">
        <f>项目预算表!$G$20</f>
        <v>40</v>
      </c>
      <c r="AF37" s="43">
        <f>项目预算表!$G$20</f>
        <v>40</v>
      </c>
      <c r="AG37" s="43">
        <f>项目预算表!$G$20</f>
        <v>40</v>
      </c>
      <c r="AH37" s="43">
        <f>项目预算表!$G$20</f>
        <v>40</v>
      </c>
      <c r="AI37" s="43">
        <f>项目预算表!$G$20</f>
        <v>40</v>
      </c>
      <c r="AJ37" s="43">
        <f>项目预算表!$G$20</f>
        <v>40</v>
      </c>
      <c r="AK37" s="43">
        <f>项目预算表!$G$20</f>
        <v>40</v>
      </c>
      <c r="AL37" s="43">
        <f>项目预算表!$G$20</f>
        <v>40</v>
      </c>
      <c r="AM37" s="43">
        <f>项目预算表!$G$20</f>
        <v>40</v>
      </c>
      <c r="AN37" s="43"/>
      <c r="AO37" s="43"/>
      <c r="AP37" s="43"/>
    </row>
    <row r="38" spans="1:44">
      <c r="A38" t="s">
        <v>27</v>
      </c>
      <c r="B38" s="48">
        <f>项目预算表!$D$19</f>
        <v>1</v>
      </c>
      <c r="C38" s="48">
        <f>项目预算表!$D$19</f>
        <v>1</v>
      </c>
      <c r="D38" s="48">
        <f>项目预算表!$D$19</f>
        <v>1</v>
      </c>
      <c r="E38" s="48">
        <f>项目预算表!$D$19</f>
        <v>1</v>
      </c>
      <c r="F38" s="48">
        <f>项目预算表!$D$19</f>
        <v>1</v>
      </c>
      <c r="G38" s="48">
        <f>项目预算表!$D$19</f>
        <v>1</v>
      </c>
      <c r="H38" s="48">
        <f>项目预算表!$E$19</f>
        <v>1</v>
      </c>
      <c r="I38" s="48">
        <f>项目预算表!$E$19</f>
        <v>1</v>
      </c>
      <c r="J38" s="48">
        <f>项目预算表!$E$19</f>
        <v>1</v>
      </c>
      <c r="K38" s="48">
        <f>项目预算表!$E$19</f>
        <v>1</v>
      </c>
      <c r="L38" s="48">
        <f>项目预算表!$E$19</f>
        <v>1</v>
      </c>
      <c r="M38" s="48">
        <f>项目预算表!$E$19</f>
        <v>1</v>
      </c>
      <c r="N38" s="43"/>
      <c r="O38" s="48">
        <f>项目预算表!$F$19</f>
        <v>1</v>
      </c>
      <c r="P38" s="48">
        <f>项目预算表!$F$19</f>
        <v>1</v>
      </c>
      <c r="Q38" s="48">
        <f>项目预算表!$F$19</f>
        <v>1</v>
      </c>
      <c r="R38" s="48">
        <f>项目预算表!$F$19</f>
        <v>1</v>
      </c>
      <c r="S38" s="48">
        <f>项目预算表!$F$19</f>
        <v>1</v>
      </c>
      <c r="T38" s="48">
        <f>项目预算表!$F$19</f>
        <v>1</v>
      </c>
      <c r="U38" s="48">
        <f>项目预算表!$F$19</f>
        <v>1</v>
      </c>
      <c r="V38" s="48">
        <f>项目预算表!$F$19</f>
        <v>1</v>
      </c>
      <c r="W38" s="48">
        <f>项目预算表!$F$19</f>
        <v>1</v>
      </c>
      <c r="X38" s="48">
        <f>项目预算表!$F$19</f>
        <v>1</v>
      </c>
      <c r="Y38" s="48">
        <f>项目预算表!$F$19</f>
        <v>1</v>
      </c>
      <c r="Z38" s="48">
        <f>项目预算表!$F$19</f>
        <v>1</v>
      </c>
      <c r="AA38" s="43"/>
      <c r="AB38" s="48">
        <f>项目预算表!$G$19</f>
        <v>1</v>
      </c>
      <c r="AC38" s="48">
        <f>项目预算表!$G$19</f>
        <v>1</v>
      </c>
      <c r="AD38" s="48">
        <f>项目预算表!$G$19</f>
        <v>1</v>
      </c>
      <c r="AE38" s="48">
        <f>项目预算表!$G$19</f>
        <v>1</v>
      </c>
      <c r="AF38" s="48">
        <f>项目预算表!$G$19</f>
        <v>1</v>
      </c>
      <c r="AG38" s="48">
        <f>项目预算表!$G$19</f>
        <v>1</v>
      </c>
      <c r="AH38" s="48">
        <f>项目预算表!$G$19</f>
        <v>1</v>
      </c>
      <c r="AI38" s="48">
        <f>项目预算表!$G$19</f>
        <v>1</v>
      </c>
      <c r="AJ38" s="48">
        <f>项目预算表!$G$19</f>
        <v>1</v>
      </c>
      <c r="AK38" s="48">
        <f>项目预算表!$G$19</f>
        <v>1</v>
      </c>
      <c r="AL38" s="48">
        <f>项目预算表!$G$19</f>
        <v>1</v>
      </c>
      <c r="AM38" s="48">
        <f>项目预算表!$G$19</f>
        <v>1</v>
      </c>
      <c r="AN38" s="43"/>
      <c r="AO38" s="43"/>
      <c r="AP38" s="48"/>
    </row>
    <row r="39" spans="1:44">
      <c r="A39" t="s">
        <v>145</v>
      </c>
      <c r="B39" s="48">
        <f>项目预算表!$D$21</f>
        <v>0.2</v>
      </c>
      <c r="C39" s="48">
        <f>项目预算表!$D$21</f>
        <v>0.2</v>
      </c>
      <c r="D39" s="48">
        <f>项目预算表!$D$21</f>
        <v>0.2</v>
      </c>
      <c r="E39" s="48">
        <f>项目预算表!$D$21</f>
        <v>0.2</v>
      </c>
      <c r="F39" s="48">
        <f>项目预算表!$D$21</f>
        <v>0.2</v>
      </c>
      <c r="G39" s="48">
        <f>项目预算表!$D$21</f>
        <v>0.2</v>
      </c>
      <c r="H39" s="48">
        <f>项目预算表!$E$21</f>
        <v>0.2</v>
      </c>
      <c r="I39" s="48">
        <f>项目预算表!$E$21</f>
        <v>0.2</v>
      </c>
      <c r="J39" s="48">
        <f>项目预算表!$E$21</f>
        <v>0.2</v>
      </c>
      <c r="K39" s="48">
        <f>项目预算表!$E$21</f>
        <v>0.2</v>
      </c>
      <c r="L39" s="48">
        <f>项目预算表!$E$21</f>
        <v>0.2</v>
      </c>
      <c r="M39" s="48">
        <f>项目预算表!$E$21</f>
        <v>0.2</v>
      </c>
      <c r="N39" s="43"/>
      <c r="O39" s="48">
        <f>项目预算表!$F$21</f>
        <v>0.2</v>
      </c>
      <c r="P39" s="48">
        <f>项目预算表!$F$21</f>
        <v>0.2</v>
      </c>
      <c r="Q39" s="48">
        <f>项目预算表!$F$21</f>
        <v>0.2</v>
      </c>
      <c r="R39" s="48">
        <f>项目预算表!$F$21</f>
        <v>0.2</v>
      </c>
      <c r="S39" s="48">
        <f>项目预算表!$F$21</f>
        <v>0.2</v>
      </c>
      <c r="T39" s="48">
        <f>项目预算表!$F$21</f>
        <v>0.2</v>
      </c>
      <c r="U39" s="48">
        <f>项目预算表!$F$21</f>
        <v>0.2</v>
      </c>
      <c r="V39" s="48">
        <f>项目预算表!$F$21</f>
        <v>0.2</v>
      </c>
      <c r="W39" s="48">
        <f>项目预算表!$F$21</f>
        <v>0.2</v>
      </c>
      <c r="X39" s="48">
        <f>项目预算表!$F$21</f>
        <v>0.2</v>
      </c>
      <c r="Y39" s="48">
        <f>项目预算表!$F$21</f>
        <v>0.2</v>
      </c>
      <c r="Z39" s="48">
        <f>项目预算表!$F$21</f>
        <v>0.2</v>
      </c>
      <c r="AA39" s="43"/>
      <c r="AB39" s="48">
        <f>项目预算表!$G$21</f>
        <v>0.2</v>
      </c>
      <c r="AC39" s="48">
        <f>项目预算表!$G$21</f>
        <v>0.2</v>
      </c>
      <c r="AD39" s="48">
        <f>项目预算表!$G$21</f>
        <v>0.2</v>
      </c>
      <c r="AE39" s="48">
        <f>项目预算表!$G$21</f>
        <v>0.2</v>
      </c>
      <c r="AF39" s="48">
        <f>项目预算表!$G$21</f>
        <v>0.2</v>
      </c>
      <c r="AG39" s="48">
        <f>项目预算表!$G$21</f>
        <v>0.2</v>
      </c>
      <c r="AH39" s="48">
        <f>项目预算表!$G$21</f>
        <v>0.2</v>
      </c>
      <c r="AI39" s="48">
        <f>项目预算表!$G$21</f>
        <v>0.2</v>
      </c>
      <c r="AJ39" s="48">
        <f>项目预算表!$G$21</f>
        <v>0.2</v>
      </c>
      <c r="AK39" s="48">
        <f>项目预算表!$G$21</f>
        <v>0.2</v>
      </c>
      <c r="AL39" s="48">
        <f>项目预算表!$G$21</f>
        <v>0.2</v>
      </c>
      <c r="AM39" s="48">
        <f>项目预算表!$G$21</f>
        <v>0.2</v>
      </c>
      <c r="AN39" s="43"/>
      <c r="AO39" s="43"/>
      <c r="AP39" s="48"/>
    </row>
    <row r="40" spans="1:44">
      <c r="A40" t="s">
        <v>146</v>
      </c>
      <c r="B40" s="48">
        <f>项目预算表!$E$23</f>
        <v>0</v>
      </c>
      <c r="C40" s="48">
        <f>项目预算表!$E$23</f>
        <v>0</v>
      </c>
      <c r="D40" s="48">
        <f>项目预算表!$E$23</f>
        <v>0</v>
      </c>
      <c r="E40" s="48">
        <f>项目预算表!$E$23</f>
        <v>0</v>
      </c>
      <c r="F40" s="48">
        <f>项目预算表!$E$23</f>
        <v>0</v>
      </c>
      <c r="G40" s="48">
        <f>项目预算表!$E$23</f>
        <v>0</v>
      </c>
      <c r="H40" s="48">
        <f>项目预算表!$E$23</f>
        <v>0</v>
      </c>
      <c r="I40" s="48">
        <f>项目预算表!$E$23</f>
        <v>0</v>
      </c>
      <c r="J40" s="48">
        <f>项目预算表!$E$23</f>
        <v>0</v>
      </c>
      <c r="K40" s="48">
        <f>项目预算表!$E$23</f>
        <v>0</v>
      </c>
      <c r="L40" s="48">
        <f>项目预算表!$E$23</f>
        <v>0</v>
      </c>
      <c r="M40" s="48">
        <f>项目预算表!$E$23</f>
        <v>0</v>
      </c>
      <c r="O40" s="48">
        <f>项目预算表!$F$23</f>
        <v>0.05</v>
      </c>
      <c r="P40" s="48">
        <f>项目预算表!$F$23</f>
        <v>0.05</v>
      </c>
      <c r="Q40" s="48">
        <f>项目预算表!$F$23</f>
        <v>0.05</v>
      </c>
      <c r="R40" s="48">
        <f>项目预算表!$F$23</f>
        <v>0.05</v>
      </c>
      <c r="S40" s="48">
        <f>项目预算表!$F$23</f>
        <v>0.05</v>
      </c>
      <c r="T40" s="48">
        <f>项目预算表!$F$23</f>
        <v>0.05</v>
      </c>
      <c r="U40" s="48">
        <f>项目预算表!$F$23</f>
        <v>0.05</v>
      </c>
      <c r="V40" s="48">
        <f>项目预算表!$F$23</f>
        <v>0.05</v>
      </c>
      <c r="W40" s="48">
        <f>项目预算表!$F$23</f>
        <v>0.05</v>
      </c>
      <c r="X40" s="48">
        <f>项目预算表!$F$23</f>
        <v>0.05</v>
      </c>
      <c r="Y40" s="48">
        <f>项目预算表!$F$23</f>
        <v>0.05</v>
      </c>
      <c r="Z40" s="48">
        <f>项目预算表!$F$23</f>
        <v>0.05</v>
      </c>
      <c r="AB40" s="48">
        <f>项目预算表!$G$23</f>
        <v>0.05</v>
      </c>
      <c r="AC40" s="48">
        <f>项目预算表!$G$23</f>
        <v>0.05</v>
      </c>
      <c r="AD40" s="48">
        <f>项目预算表!$G$23</f>
        <v>0.05</v>
      </c>
      <c r="AE40" s="48">
        <f>项目预算表!$G$23</f>
        <v>0.05</v>
      </c>
      <c r="AF40" s="48">
        <f>项目预算表!$G$23</f>
        <v>0.05</v>
      </c>
      <c r="AG40" s="48">
        <f>项目预算表!$G$23</f>
        <v>0.05</v>
      </c>
      <c r="AH40" s="48">
        <f>项目预算表!$G$23</f>
        <v>0.05</v>
      </c>
      <c r="AI40" s="48">
        <f>项目预算表!$G$23</f>
        <v>0.05</v>
      </c>
      <c r="AJ40" s="48">
        <f>项目预算表!$G$23</f>
        <v>0.05</v>
      </c>
      <c r="AK40" s="48">
        <f>项目预算表!$G$23</f>
        <v>0.05</v>
      </c>
      <c r="AL40" s="48">
        <f>项目预算表!$G$23</f>
        <v>0.05</v>
      </c>
      <c r="AM40" s="48">
        <f>项目预算表!$G$23</f>
        <v>0.05</v>
      </c>
    </row>
    <row r="41" spans="1:44">
      <c r="A41" t="s">
        <v>147</v>
      </c>
      <c r="B41" s="48">
        <f>项目预算表!$D$22</f>
        <v>0.3</v>
      </c>
      <c r="C41" s="48">
        <f>项目预算表!$D$22</f>
        <v>0.3</v>
      </c>
      <c r="D41" s="48">
        <f>项目预算表!$D$22</f>
        <v>0.3</v>
      </c>
      <c r="E41" s="48">
        <f>项目预算表!$D$22</f>
        <v>0.3</v>
      </c>
      <c r="F41" s="48">
        <f>项目预算表!$D$22</f>
        <v>0.3</v>
      </c>
      <c r="G41" s="48">
        <f>项目预算表!$D$22</f>
        <v>0.3</v>
      </c>
      <c r="H41" s="48">
        <f>项目预算表!$E$22</f>
        <v>0.3</v>
      </c>
      <c r="I41" s="48">
        <f>项目预算表!$E$22</f>
        <v>0.3</v>
      </c>
      <c r="J41" s="48">
        <f>项目预算表!$E$22</f>
        <v>0.3</v>
      </c>
      <c r="K41" s="48">
        <f>项目预算表!$E$22</f>
        <v>0.3</v>
      </c>
      <c r="L41" s="48">
        <f>项目预算表!$E$22</f>
        <v>0.3</v>
      </c>
      <c r="M41" s="48">
        <f>项目预算表!$E$22</f>
        <v>0.3</v>
      </c>
      <c r="O41" s="48">
        <f>项目预算表!$F$22</f>
        <v>0.3</v>
      </c>
      <c r="P41" s="48">
        <f>项目预算表!$F$22</f>
        <v>0.3</v>
      </c>
      <c r="Q41" s="48">
        <f>项目预算表!$F$22</f>
        <v>0.3</v>
      </c>
      <c r="R41" s="48">
        <f>项目预算表!$F$22</f>
        <v>0.3</v>
      </c>
      <c r="S41" s="48">
        <f>项目预算表!$F$22</f>
        <v>0.3</v>
      </c>
      <c r="T41" s="48">
        <f>项目预算表!$F$22</f>
        <v>0.3</v>
      </c>
      <c r="U41" s="48">
        <f>项目预算表!$F$22</f>
        <v>0.3</v>
      </c>
      <c r="V41" s="48">
        <f>项目预算表!$F$22</f>
        <v>0.3</v>
      </c>
      <c r="W41" s="48">
        <f>项目预算表!$F$22</f>
        <v>0.3</v>
      </c>
      <c r="X41" s="48">
        <f>项目预算表!$F$22</f>
        <v>0.3</v>
      </c>
      <c r="Y41" s="48">
        <f>项目预算表!$F$22</f>
        <v>0.3</v>
      </c>
      <c r="Z41" s="48">
        <f>项目预算表!$F$22</f>
        <v>0.3</v>
      </c>
      <c r="AB41" s="48">
        <f>项目预算表!$G$22</f>
        <v>0.3</v>
      </c>
      <c r="AC41" s="48">
        <f>项目预算表!$G$22</f>
        <v>0.3</v>
      </c>
      <c r="AD41" s="48">
        <f>项目预算表!$G$22</f>
        <v>0.3</v>
      </c>
      <c r="AE41" s="48">
        <f>项目预算表!$G$22</f>
        <v>0.3</v>
      </c>
      <c r="AF41" s="48">
        <f>项目预算表!$G$22</f>
        <v>0.3</v>
      </c>
      <c r="AG41" s="48">
        <f>项目预算表!$G$22</f>
        <v>0.3</v>
      </c>
      <c r="AH41" s="48">
        <f>项目预算表!$G$22</f>
        <v>0.3</v>
      </c>
      <c r="AI41" s="48">
        <f>项目预算表!$G$22</f>
        <v>0.3</v>
      </c>
      <c r="AJ41" s="48">
        <f>项目预算表!$G$22</f>
        <v>0.3</v>
      </c>
      <c r="AK41" s="48">
        <f>项目预算表!$G$22</f>
        <v>0.3</v>
      </c>
      <c r="AL41" s="48">
        <f>项目预算表!$G$22</f>
        <v>0.3</v>
      </c>
      <c r="AM41" s="48">
        <f>项目预算表!$G$22</f>
        <v>0.3</v>
      </c>
    </row>
    <row r="43" ht="14" customHeight="1" spans="1:44">
      <c r="A43" t="s">
        <v>148</v>
      </c>
      <c r="B43" s="43">
        <f>SUM(B7,B12,B17,B22,B28)</f>
        <v>58.8839218740984</v>
      </c>
      <c r="C43" s="43">
        <f t="shared" ref="C43:M43" si="51">SUM(C7,C12,C17,C22,C28)</f>
        <v>58.8882120506606</v>
      </c>
      <c r="D43" s="43">
        <f t="shared" si="51"/>
        <v>60.6570799751889</v>
      </c>
      <c r="E43" s="43">
        <f t="shared" si="51"/>
        <v>58.888742711038</v>
      </c>
      <c r="F43" s="43">
        <f t="shared" si="51"/>
        <v>58.8976875223588</v>
      </c>
      <c r="G43" s="43">
        <f t="shared" si="51"/>
        <v>58.9071629940569</v>
      </c>
      <c r="H43" s="43">
        <f t="shared" si="51"/>
        <v>59.256006903814</v>
      </c>
      <c r="I43" s="43">
        <f t="shared" si="51"/>
        <v>59.268739833968</v>
      </c>
      <c r="J43" s="43">
        <f t="shared" si="51"/>
        <v>61.6398643622699</v>
      </c>
      <c r="K43" s="43">
        <f t="shared" si="51"/>
        <v>81.5832234817668</v>
      </c>
      <c r="L43" s="43">
        <f t="shared" si="51"/>
        <v>81.5921789062951</v>
      </c>
      <c r="M43" s="43">
        <f t="shared" si="51"/>
        <v>81.6016543779932</v>
      </c>
      <c r="N43" s="43"/>
      <c r="O43" s="43">
        <f>SUM(O7,O12,O17,O22,O28)</f>
        <v>87.6842971510588</v>
      </c>
      <c r="P43" s="43">
        <f t="shared" ref="P43:Z43" si="52">SUM(P7,P12,P17,P22,P28)</f>
        <v>87.7422332521926</v>
      </c>
      <c r="Q43" s="43">
        <f t="shared" si="52"/>
        <v>87.8377032279586</v>
      </c>
      <c r="R43" s="43">
        <f t="shared" si="52"/>
        <v>88.98872352396</v>
      </c>
      <c r="S43" s="43">
        <f t="shared" si="52"/>
        <v>89.0676603164128</v>
      </c>
      <c r="T43" s="43">
        <f t="shared" si="52"/>
        <v>89.1465971088657</v>
      </c>
      <c r="U43" s="43">
        <f t="shared" si="52"/>
        <v>89.2255339013185</v>
      </c>
      <c r="V43" s="43">
        <f t="shared" si="52"/>
        <v>89.3044706937713</v>
      </c>
      <c r="W43" s="43">
        <f t="shared" si="52"/>
        <v>89.3834074862241</v>
      </c>
      <c r="X43" s="43">
        <f t="shared" si="52"/>
        <v>140.16167761201</v>
      </c>
      <c r="Y43" s="43">
        <f t="shared" si="52"/>
        <v>135.292581385595</v>
      </c>
      <c r="Z43" s="43">
        <f t="shared" si="52"/>
        <v>135.369926196916</v>
      </c>
      <c r="AA43" s="43"/>
      <c r="AB43" s="43">
        <f>SUM(AB7,AB12,AB17,AB22,AB28)</f>
        <v>230.852904856543</v>
      </c>
      <c r="AC43" s="43">
        <f t="shared" ref="AC43:AM43" si="53">SUM(AC7,AC12,AC17,AC22,AC28)</f>
        <v>173.774345093691</v>
      </c>
      <c r="AD43" s="43">
        <f t="shared" si="53"/>
        <v>173.850522452181</v>
      </c>
      <c r="AE43" s="43">
        <f t="shared" si="53"/>
        <v>173.939435659728</v>
      </c>
      <c r="AF43" s="43">
        <f t="shared" si="53"/>
        <v>179.725399862602</v>
      </c>
      <c r="AG43" s="43">
        <f t="shared" si="53"/>
        <v>249.400751325299</v>
      </c>
      <c r="AH43" s="43">
        <f t="shared" si="53"/>
        <v>185.526958872468</v>
      </c>
      <c r="AI43" s="43">
        <f t="shared" si="53"/>
        <v>187.61071358945</v>
      </c>
      <c r="AJ43" s="43">
        <f t="shared" si="53"/>
        <v>189.715694721525</v>
      </c>
      <c r="AK43" s="43">
        <f t="shared" si="53"/>
        <v>257.803875853601</v>
      </c>
      <c r="AL43" s="43">
        <f t="shared" si="53"/>
        <v>254.366389532846</v>
      </c>
      <c r="AM43" s="43">
        <f t="shared" si="53"/>
        <v>287.106279061148</v>
      </c>
    </row>
    <row r="44" spans="1:44"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</row>
  </sheetData>
  <mergeCells count="3">
    <mergeCell ref="B1:N1"/>
    <mergeCell ref="O1:AA1"/>
    <mergeCell ref="AB1:AN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W186"/>
  <sheetViews>
    <sheetView zoomScale="120" zoomScaleNormal="120" workbookViewId="0">
      <selection activeCell="C25" sqref="C25"/>
    </sheetView>
  </sheetViews>
  <sheetFormatPr defaultColWidth="14" defaultRowHeight="17.25"/>
  <cols>
    <col min="1" max="1" width="56.2857142857143" style="14" customWidth="1"/>
    <col min="2" max="2" width="18.1428571428571" style="14" customWidth="1"/>
    <col min="3" max="3" width="16.7142857142857" style="14" customWidth="1"/>
    <col min="4" max="5" width="14.7142857142857" style="14" customWidth="1"/>
    <col min="6" max="7" width="16.8857142857143" style="14" customWidth="1"/>
    <col min="8" max="8" width="130.428571428571" style="14" customWidth="1"/>
    <col min="9" max="16384" width="14" style="14"/>
  </cols>
  <sheetData>
    <row r="1" ht="15" customHeight="1" spans="1:23">
      <c r="A1" s="15" t="s">
        <v>149</v>
      </c>
      <c r="B1" s="33"/>
      <c r="C1" s="33"/>
      <c r="D1" s="32"/>
      <c r="E1" s="32"/>
      <c r="F1" s="32"/>
      <c r="G1" s="16"/>
      <c r="H1" s="17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ht="15" customHeight="1" spans="1:23">
      <c r="A2" s="15" t="s">
        <v>150</v>
      </c>
      <c r="B2" s="15" t="s">
        <v>151</v>
      </c>
      <c r="C2" s="34" t="s">
        <v>2</v>
      </c>
      <c r="D2" s="34"/>
      <c r="E2" s="34"/>
      <c r="F2" s="15" t="s">
        <v>3</v>
      </c>
      <c r="G2" s="19" t="s">
        <v>4</v>
      </c>
      <c r="H2" s="19" t="s">
        <v>152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ht="15" customHeight="1" spans="1:23">
      <c r="A3" s="15"/>
      <c r="B3" s="15"/>
      <c r="C3" s="15" t="s">
        <v>5</v>
      </c>
      <c r="D3" s="34" t="s">
        <v>6</v>
      </c>
      <c r="E3" s="34" t="s">
        <v>7</v>
      </c>
      <c r="F3" s="15"/>
      <c r="G3" s="19"/>
      <c r="H3" s="19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4" ht="15" customHeight="1" spans="1:23">
      <c r="A4" s="7" t="s">
        <v>153</v>
      </c>
      <c r="B4" s="7"/>
      <c r="C4" s="7"/>
      <c r="D4" s="11"/>
      <c r="E4" s="11"/>
      <c r="F4" s="11"/>
      <c r="G4" s="20"/>
      <c r="H4" s="21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</row>
    <row r="5" ht="15" customHeight="1" spans="1:23">
      <c r="A5" s="7" t="s">
        <v>121</v>
      </c>
      <c r="B5" s="35">
        <f>SUM(C5,F5:G5)</f>
        <v>466.95</v>
      </c>
      <c r="C5" s="35">
        <f>SUM(D5:E5)</f>
        <v>123.75</v>
      </c>
      <c r="D5" s="22">
        <f>项目预算表!E71*项目预算表!$I$25/12*3</f>
        <v>27.5</v>
      </c>
      <c r="E5" s="22">
        <f>项目预算表!E71*项目预算表!$I$25/12*6+项目预算表!F71*项目预算表!$I$25/12*3</f>
        <v>96.25</v>
      </c>
      <c r="F5" s="22">
        <f>项目预算表!F71*项目预算表!$I$25/12*9+项目预算表!G71*项目预算表!$I$25/12*3</f>
        <v>165</v>
      </c>
      <c r="G5" s="22">
        <f>项目预算表!G71*项目预算表!$I$25*(1+8%)/12*9+项目预算表!H71*项目预算表!$I$25/12*3*(1+8%)</f>
        <v>178.2</v>
      </c>
      <c r="H5" s="7" t="s">
        <v>154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</row>
    <row r="6" ht="15" customHeight="1" spans="1:23">
      <c r="A6" s="7" t="s">
        <v>73</v>
      </c>
      <c r="B6" s="35">
        <f t="shared" ref="B6:B30" si="0">SUM(C6,F6:G6)</f>
        <v>1037.85</v>
      </c>
      <c r="C6" s="35">
        <f>SUM(D6:E6)</f>
        <v>275</v>
      </c>
      <c r="D6" s="22">
        <f>项目预算表!E72*项目预算表!$I$25/12*3</f>
        <v>68.75</v>
      </c>
      <c r="E6" s="22">
        <f>项目预算表!E72*项目预算表!$I$25/12*6+项目预算表!F72*项目预算表!$I$25/12*3</f>
        <v>206.25</v>
      </c>
      <c r="F6" s="22">
        <f>项目预算表!F72*项目预算表!$I$25/12*9+项目预算表!G72*项目预算表!$I$25/12*3</f>
        <v>302.5</v>
      </c>
      <c r="G6" s="22">
        <f>项目预算表!G72*项目预算表!$I$25*(1+8%)/12*9+项目预算表!H72*项目预算表!$I$25/12*3*(1+8%)</f>
        <v>460.35</v>
      </c>
      <c r="H6" s="7" t="s">
        <v>155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 ht="15" customHeight="1" spans="1:23">
      <c r="A7" s="7" t="s">
        <v>74</v>
      </c>
      <c r="B7" s="35">
        <f t="shared" si="0"/>
        <v>1354.1</v>
      </c>
      <c r="C7" s="35">
        <f>SUM(D7:E7)</f>
        <v>151.25</v>
      </c>
      <c r="D7" s="22">
        <f>项目预算表!E73*项目预算表!$I$25/12*3</f>
        <v>27.5</v>
      </c>
      <c r="E7" s="22">
        <f>项目预算表!E73*项目预算表!$I$25/12*6+项目预算表!F73*项目预算表!$I$25/12*3</f>
        <v>123.75</v>
      </c>
      <c r="F7" s="22">
        <f>项目预算表!F73*项目预算表!$I$25/12*9+项目预算表!G73*项目预算表!$I$25/12*3</f>
        <v>371.25</v>
      </c>
      <c r="G7" s="22">
        <f>项目预算表!G73*项目预算表!$I$25*(1+8%)/12*9+项目预算表!H73*项目预算表!$I$25/12*3*(1+8%)</f>
        <v>831.6</v>
      </c>
      <c r="H7" s="7" t="s">
        <v>156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</row>
    <row r="8" ht="15" customHeight="1" spans="1:23">
      <c r="A8" s="7" t="s">
        <v>122</v>
      </c>
      <c r="B8" s="35">
        <f t="shared" si="0"/>
        <v>280.4</v>
      </c>
      <c r="C8" s="35">
        <f>SUM(D8:E8)</f>
        <v>50</v>
      </c>
      <c r="D8" s="22">
        <f>项目预算表!E74*项目预算表!$I$26/12*3</f>
        <v>10</v>
      </c>
      <c r="E8" s="22">
        <f>项目预算表!E74*项目预算表!$I$26/12*6+项目预算表!F74*项目预算表!$I$26/12*3</f>
        <v>40</v>
      </c>
      <c r="F8" s="22">
        <f>项目预算表!F74*项目预算表!$I$26/12*9+项目预算表!G74*项目预算表!$I$26/12*3</f>
        <v>90</v>
      </c>
      <c r="G8" s="22">
        <f>项目预算表!G74*项目预算表!$I$26*(1+8%)/12*9+项目预算表!H74*项目预算表!$I$26/12*3*(1+8%)</f>
        <v>140.4</v>
      </c>
      <c r="H8" s="7" t="s">
        <v>157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  <row r="9" ht="15" customHeight="1" spans="1:23">
      <c r="A9" s="23" t="s">
        <v>158</v>
      </c>
      <c r="B9" s="22">
        <f t="shared" si="0"/>
        <v>3139.3</v>
      </c>
      <c r="C9" s="22">
        <f>SUM(C5:C8)</f>
        <v>600</v>
      </c>
      <c r="D9" s="22">
        <f>SUM(D5:D8)</f>
        <v>133.75</v>
      </c>
      <c r="E9" s="22">
        <f>SUM(E5:E8)</f>
        <v>466.25</v>
      </c>
      <c r="F9" s="22">
        <f>SUM(F5:F8)</f>
        <v>928.75</v>
      </c>
      <c r="G9" s="24">
        <f>SUM(G5:G8)</f>
        <v>1610.55</v>
      </c>
      <c r="H9" s="7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ht="15" customHeight="1" spans="1:23">
      <c r="A10" s="26" t="s">
        <v>159</v>
      </c>
      <c r="B10" s="26"/>
      <c r="C10" s="26"/>
      <c r="D10" s="22"/>
      <c r="E10" s="22"/>
      <c r="F10" s="22"/>
      <c r="G10" s="24"/>
      <c r="H10" s="7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 ht="15" customHeight="1" spans="1:23">
      <c r="A11" s="7" t="s">
        <v>124</v>
      </c>
      <c r="B11" s="35">
        <f t="shared" si="0"/>
        <v>452.830188679245</v>
      </c>
      <c r="C11" s="35">
        <f>SUM(D11:E11)</f>
        <v>28.3018867924528</v>
      </c>
      <c r="D11" s="22">
        <f>30/12*3/1.06</f>
        <v>7.07547169811321</v>
      </c>
      <c r="E11" s="22">
        <f>30/12*9/1.06</f>
        <v>21.2264150943396</v>
      </c>
      <c r="F11" s="22">
        <f>150/1.06</f>
        <v>141.509433962264</v>
      </c>
      <c r="G11" s="24">
        <f>300/1.06</f>
        <v>283.018867924528</v>
      </c>
      <c r="H11" s="7" t="s">
        <v>160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 ht="15" customHeight="1" spans="1:23">
      <c r="A12" s="7" t="s">
        <v>125</v>
      </c>
      <c r="B12" s="35">
        <f t="shared" si="0"/>
        <v>363.849056603774</v>
      </c>
      <c r="C12" s="35">
        <v>28</v>
      </c>
      <c r="D12" s="22">
        <f>28/12*3/1.06</f>
        <v>6.60377358490566</v>
      </c>
      <c r="E12" s="22">
        <f>28/12*9/1.06</f>
        <v>19.811320754717</v>
      </c>
      <c r="F12" s="22">
        <f>76/1.06</f>
        <v>71.6981132075472</v>
      </c>
      <c r="G12" s="24">
        <f>280/1.06</f>
        <v>264.150943396226</v>
      </c>
      <c r="H12" s="7" t="s">
        <v>161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 ht="15" customHeight="1" spans="1:23">
      <c r="A13" s="7"/>
      <c r="B13" s="35"/>
      <c r="C13" s="35"/>
      <c r="D13" s="22"/>
      <c r="E13" s="22"/>
      <c r="F13" s="22"/>
      <c r="G13" s="24"/>
      <c r="H13" s="7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r="14" ht="15" customHeight="1" spans="1:23">
      <c r="A14" s="7"/>
      <c r="B14" s="35"/>
      <c r="C14" s="35"/>
      <c r="D14" s="22"/>
      <c r="E14" s="22"/>
      <c r="F14" s="22"/>
      <c r="G14" s="24"/>
      <c r="H14" s="7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 ht="15" customHeight="1" spans="1:23">
      <c r="A15" s="23" t="s">
        <v>162</v>
      </c>
      <c r="B15" s="35">
        <f t="shared" si="0"/>
        <v>815.094339622641</v>
      </c>
      <c r="C15" s="35">
        <f>SUM(D15:E15)</f>
        <v>54.7169811320755</v>
      </c>
      <c r="D15" s="22">
        <f>SUM(D11:D14)</f>
        <v>13.6792452830189</v>
      </c>
      <c r="E15" s="22">
        <f>SUM(E11:E14)</f>
        <v>41.0377358490566</v>
      </c>
      <c r="F15" s="22">
        <f>SUM(F11:F14)</f>
        <v>213.207547169811</v>
      </c>
      <c r="G15" s="24">
        <f>SUM(G11:G14)</f>
        <v>547.169811320755</v>
      </c>
      <c r="H15" s="7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 ht="15" customHeight="1" spans="1:23">
      <c r="A16" s="26" t="s">
        <v>163</v>
      </c>
      <c r="B16" s="26"/>
      <c r="C16" s="26"/>
      <c r="D16" s="27"/>
      <c r="E16" s="27"/>
      <c r="F16" s="22"/>
      <c r="G16" s="24"/>
      <c r="H16" s="7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 ht="15" customHeight="1" spans="1:23">
      <c r="A17" s="26" t="s">
        <v>127</v>
      </c>
      <c r="B17" s="35">
        <f t="shared" si="0"/>
        <v>94.3396226415094</v>
      </c>
      <c r="C17" s="35">
        <f t="shared" ref="C17:C28" si="1">SUM(D17:E17)</f>
        <v>94.3396226415094</v>
      </c>
      <c r="D17" s="27">
        <f>100/1.06</f>
        <v>94.3396226415094</v>
      </c>
      <c r="E17" s="27"/>
      <c r="F17" s="22">
        <v>0</v>
      </c>
      <c r="G17" s="24"/>
      <c r="H17" s="7" t="s">
        <v>164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 ht="15" customHeight="1" spans="1:23">
      <c r="A18" s="23" t="s">
        <v>165</v>
      </c>
      <c r="B18" s="35">
        <f t="shared" ref="B18:G18" si="2">B17</f>
        <v>94.3396226415094</v>
      </c>
      <c r="C18" s="35">
        <f t="shared" si="2"/>
        <v>94.3396226415094</v>
      </c>
      <c r="D18" s="35">
        <f t="shared" si="2"/>
        <v>94.3396226415094</v>
      </c>
      <c r="E18" s="35">
        <f t="shared" si="2"/>
        <v>0</v>
      </c>
      <c r="F18" s="35">
        <f t="shared" si="2"/>
        <v>0</v>
      </c>
      <c r="G18" s="35">
        <f t="shared" si="2"/>
        <v>0</v>
      </c>
      <c r="H18" s="7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ht="15" customHeight="1" spans="1:23">
      <c r="A19" s="7" t="s">
        <v>166</v>
      </c>
      <c r="B19" s="35">
        <f t="shared" si="0"/>
        <v>94.3396226415094</v>
      </c>
      <c r="C19" s="35">
        <f t="shared" si="1"/>
        <v>94.3396226415094</v>
      </c>
      <c r="D19" s="22">
        <f>SUM(D17:D17)</f>
        <v>94.3396226415094</v>
      </c>
      <c r="E19" s="22"/>
      <c r="F19" s="22">
        <f>SUM(F17:F17)</f>
        <v>0</v>
      </c>
      <c r="G19" s="24">
        <f>SUM(G17:G17)</f>
        <v>0</v>
      </c>
      <c r="H19" s="7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ht="15" customHeight="1" spans="1:23">
      <c r="A20" s="7" t="s">
        <v>129</v>
      </c>
      <c r="B20" s="35">
        <f t="shared" si="0"/>
        <v>1499.90943396226</v>
      </c>
      <c r="C20" s="35">
        <f t="shared" si="1"/>
        <v>56.7169811320754</v>
      </c>
      <c r="D20" s="27">
        <f>项目预算表!D32*项目预算表!D22</f>
        <v>0</v>
      </c>
      <c r="E20" s="27">
        <f>项目预算表!E32*项目预算表!E22</f>
        <v>56.7169811320754</v>
      </c>
      <c r="F20" s="27">
        <f>项目预算表!F32*项目预算表!F22</f>
        <v>235.358490566038</v>
      </c>
      <c r="G20" s="27">
        <f>项目预算表!G32*项目预算表!G22</f>
        <v>1207.83396226415</v>
      </c>
      <c r="H20" s="7" t="s">
        <v>167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ht="15" customHeight="1" spans="1:23">
      <c r="A21" s="7" t="s">
        <v>130</v>
      </c>
      <c r="B21" s="35">
        <f t="shared" si="0"/>
        <v>240.532075471698</v>
      </c>
      <c r="C21" s="35">
        <f t="shared" si="1"/>
        <v>0</v>
      </c>
      <c r="D21" s="27">
        <f>项目预算表!D32*项目预算表!D23</f>
        <v>0</v>
      </c>
      <c r="E21" s="27">
        <f>项目预算表!E32*项目预算表!E23</f>
        <v>0</v>
      </c>
      <c r="F21" s="22">
        <f>项目预算表!F32*项目预算表!F23</f>
        <v>39.2264150943396</v>
      </c>
      <c r="G21" s="22">
        <f>项目预算表!G32*项目预算表!G23</f>
        <v>201.305660377358</v>
      </c>
      <c r="H21" s="7" t="s">
        <v>168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ht="15" customHeight="1" spans="1:23">
      <c r="A22" s="5" t="s">
        <v>169</v>
      </c>
      <c r="B22" s="35">
        <f t="shared" si="0"/>
        <v>1740.44150943396</v>
      </c>
      <c r="C22" s="35">
        <f t="shared" si="1"/>
        <v>56.7169811320754</v>
      </c>
      <c r="D22" s="22">
        <f>SUM(D20:D21)</f>
        <v>0</v>
      </c>
      <c r="E22" s="22">
        <f>SUM(E20:E21)</f>
        <v>56.7169811320754</v>
      </c>
      <c r="F22" s="22">
        <f>SUM(F20:F21)</f>
        <v>274.584905660377</v>
      </c>
      <c r="G22" s="24">
        <f>SUM(G20:G21)</f>
        <v>1409.13962264151</v>
      </c>
      <c r="H22" s="7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ht="15" customHeight="1" spans="1:23">
      <c r="A23" s="28" t="s">
        <v>170</v>
      </c>
      <c r="B23" s="35"/>
      <c r="C23" s="35">
        <f t="shared" si="1"/>
        <v>0</v>
      </c>
      <c r="D23" s="22">
        <v>0</v>
      </c>
      <c r="E23" s="22"/>
      <c r="F23" s="22"/>
      <c r="G23" s="22"/>
      <c r="H23" s="7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ht="15" customHeight="1" spans="1:23">
      <c r="A24" s="7" t="s">
        <v>132</v>
      </c>
      <c r="B24" s="35">
        <f t="shared" si="0"/>
        <v>141.509433962264</v>
      </c>
      <c r="C24" s="35">
        <f t="shared" si="1"/>
        <v>0</v>
      </c>
      <c r="D24" s="22">
        <v>0</v>
      </c>
      <c r="E24" s="22">
        <v>0</v>
      </c>
      <c r="F24" s="22">
        <v>0</v>
      </c>
      <c r="G24" s="22">
        <f>150/1.06</f>
        <v>141.509433962264</v>
      </c>
      <c r="H24" s="7" t="s">
        <v>171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ht="36" customHeight="1" spans="1:23">
      <c r="A25" s="7" t="s">
        <v>133</v>
      </c>
      <c r="B25" s="35">
        <f t="shared" si="0"/>
        <v>89.9839449541284</v>
      </c>
      <c r="C25" s="35">
        <f t="shared" si="1"/>
        <v>9.52981651376147</v>
      </c>
      <c r="D25" s="22">
        <f>((3.35*50*180+15*50*6)/10000+1.3/2)/1.09</f>
        <v>3.77522935779817</v>
      </c>
      <c r="E25" s="22">
        <f>((3.35*50*90+15*50*3)/10000+1.3/4+(3.35*100*90+15*100*3)/10000+3/4)/1.09</f>
        <v>5.7545871559633</v>
      </c>
      <c r="F25" s="22">
        <f>((3.35*100*270+15*100*9)/10000+(3.35*250*90+15*250*3)/10000+3)/1.09</f>
        <v>20.2362385321101</v>
      </c>
      <c r="G25" s="22">
        <f>((3.35*250*270+15*250*9)/10000+(3.35*1000*90+15*1000*3)/10000+5)/1.09</f>
        <v>60.2178899082569</v>
      </c>
      <c r="H25" s="29" t="s">
        <v>172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" customHeight="1" spans="1:23">
      <c r="A26" s="7" t="s">
        <v>134</v>
      </c>
      <c r="B26" s="35">
        <f t="shared" si="0"/>
        <v>16.438679245283</v>
      </c>
      <c r="C26" s="35">
        <f t="shared" si="1"/>
        <v>4.12735849056604</v>
      </c>
      <c r="D26" s="22">
        <f>3*50/12*50%*30%/1.06</f>
        <v>1.7688679245283</v>
      </c>
      <c r="E26" s="22">
        <f>50/12*4*30%*50%/1.06</f>
        <v>2.35849056603774</v>
      </c>
      <c r="F26" s="22">
        <f>50/12*9*30%*50%/1.06</f>
        <v>5.30660377358491</v>
      </c>
      <c r="G26" s="22">
        <f>50/12*11*30%*50%*1.08/1.06</f>
        <v>7.00471698113208</v>
      </c>
      <c r="H26" s="7" t="s">
        <v>173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ht="15" customHeight="1" spans="1:23">
      <c r="A27" s="7" t="s">
        <v>135</v>
      </c>
      <c r="B27" s="35">
        <f t="shared" si="0"/>
        <v>85.125</v>
      </c>
      <c r="C27" s="35">
        <f t="shared" si="1"/>
        <v>16.875</v>
      </c>
      <c r="D27" s="22">
        <f>项目预算表!E75*1.5/12*3</f>
        <v>3.75</v>
      </c>
      <c r="E27" s="22">
        <f>项目预算表!E75*1.5/12*6+项目预算表!F75*1.5/12*3</f>
        <v>13.125</v>
      </c>
      <c r="F27" s="22">
        <f>项目预算表!F75*1.5/12*9+项目预算表!G75*1.5/12*3</f>
        <v>26.25</v>
      </c>
      <c r="G27" s="22">
        <f>项目预算表!G75*1.5/12*9+项目预算表!H75*1.5/12*3</f>
        <v>42</v>
      </c>
      <c r="H27" s="7" t="s">
        <v>174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ht="15" customHeight="1" spans="1:23">
      <c r="A28" s="5" t="s">
        <v>175</v>
      </c>
      <c r="B28" s="35">
        <f t="shared" si="0"/>
        <v>333.057058161676</v>
      </c>
      <c r="C28" s="35">
        <f t="shared" si="1"/>
        <v>30.5321750043275</v>
      </c>
      <c r="D28" s="22">
        <f>SUM(D24:D27)</f>
        <v>9.29409728232647</v>
      </c>
      <c r="E28" s="22">
        <f>SUM(E24:E27)</f>
        <v>21.238077722001</v>
      </c>
      <c r="F28" s="22">
        <f>SUM(F24:F27)</f>
        <v>51.792842305695</v>
      </c>
      <c r="G28" s="22">
        <f>SUM(G24:G27)</f>
        <v>250.732040851653</v>
      </c>
      <c r="H28" s="7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ht="15" customHeight="1" spans="1:23">
      <c r="A29" s="28" t="s">
        <v>176</v>
      </c>
      <c r="B29" s="35">
        <f t="shared" si="0"/>
        <v>27.3106529359962</v>
      </c>
      <c r="C29" s="35">
        <f>项目预算表!C47</f>
        <v>0.47569621559633</v>
      </c>
      <c r="D29" s="35">
        <f>项目预算表!D47</f>
        <v>0.00858035312445906</v>
      </c>
      <c r="E29" s="35">
        <f>项目预算表!E47</f>
        <v>0.467115862471871</v>
      </c>
      <c r="F29" s="35">
        <f>项目预算表!F47</f>
        <v>3.59279134390687</v>
      </c>
      <c r="G29" s="35">
        <f>项目预算表!G47</f>
        <v>23.242165376493</v>
      </c>
      <c r="H29" s="7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" customHeight="1" spans="1:23">
      <c r="A30" s="7" t="s">
        <v>177</v>
      </c>
      <c r="B30" s="22">
        <f t="shared" si="0"/>
        <v>6149.54318279579</v>
      </c>
      <c r="C30" s="22">
        <f>SUM(C9,C15,C18,C22,C28,C29)</f>
        <v>836.781456125584</v>
      </c>
      <c r="D30" s="22">
        <f>SUM(D9,D15,D18,D22,D28,D29)</f>
        <v>251.071545559979</v>
      </c>
      <c r="E30" s="22">
        <f>SUM(E9,E15,E18,E22,E28,E29)</f>
        <v>585.709910565605</v>
      </c>
      <c r="F30" s="22">
        <f>SUM(F9,F15,F18,F22,F28,F29)</f>
        <v>1471.92808647979</v>
      </c>
      <c r="G30" s="22">
        <f>SUM(G9,G15,G18,G22,G28,G29)</f>
        <v>3840.83364019041</v>
      </c>
      <c r="H30" s="7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ht="15" customHeight="1" spans="1:23">
      <c r="A31" s="30"/>
      <c r="B31" s="30"/>
      <c r="C31" s="30"/>
      <c r="D31" s="31"/>
      <c r="E31" s="31"/>
      <c r="F31" s="31"/>
      <c r="G31" s="31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spans="1:23">
      <c r="A32" s="30" t="s">
        <v>178</v>
      </c>
      <c r="B32" s="30"/>
      <c r="C32" s="31">
        <f>SUM(C9,C15,C18,C28)/(项目预算表!C21-项目预算表!C21*项目预算表!C22-项目预算表!C21*项目预算表!C23)</f>
        <v>5996.8367598301</v>
      </c>
      <c r="D32" s="31">
        <f>SUM(D9,D15,D18,D28)/(项目预算表!D21-项目预算表!D21*项目预算表!D22-项目预算表!D21*项目预算表!D23)</f>
        <v>1793.30689433468</v>
      </c>
      <c r="E32" s="31">
        <f>SUM(E9,E15,E18,E28)/(项目预算表!E21-项目预算表!E21*项目预算表!E22-项目预算表!E21*项目预算表!E23)</f>
        <v>3775.18438265041</v>
      </c>
      <c r="F32" s="31">
        <f>(SUM(F9,F15,F18,F28))/(项目预算表!F21-项目预算表!F21*项目预算表!F22-项目预算表!F21*项目预算表!F23)</f>
        <v>9182.69530365774</v>
      </c>
      <c r="G32" s="31">
        <f>(SUM(G9,G15,G18,G28))/(项目预算表!G21-项目预算表!G21*项目预算表!G22-项目预算表!G21*项目预算表!G23)</f>
        <v>18526.5527090185</v>
      </c>
    </row>
    <row r="33" spans="1:8">
      <c r="A33" s="30" t="s">
        <v>179</v>
      </c>
      <c r="B33" s="30"/>
      <c r="C33" s="31">
        <f>D33+E33</f>
        <v>1113.69825539702</v>
      </c>
      <c r="D33" s="31">
        <f>D32*0.2</f>
        <v>358.661378866935</v>
      </c>
      <c r="E33" s="31">
        <f>E32*0.2</f>
        <v>755.036876530082</v>
      </c>
      <c r="F33" s="31">
        <f>F32*0.2</f>
        <v>1836.53906073155</v>
      </c>
      <c r="G33" s="31">
        <f>G32*0.2</f>
        <v>3705.3105418037</v>
      </c>
      <c r="H33" s="18"/>
    </row>
    <row r="34" spans="1:8">
      <c r="A34" s="30" t="s">
        <v>180</v>
      </c>
      <c r="B34" s="30"/>
      <c r="C34" s="36">
        <v>200</v>
      </c>
      <c r="D34" s="31">
        <v>6000</v>
      </c>
      <c r="E34" s="31">
        <v>20000</v>
      </c>
      <c r="F34" s="31">
        <v>6000</v>
      </c>
      <c r="G34" s="31">
        <v>20000</v>
      </c>
      <c r="H34" s="18"/>
    </row>
    <row r="35" spans="1:8">
      <c r="A35" s="30" t="s">
        <v>54</v>
      </c>
      <c r="B35" s="30"/>
      <c r="C35" s="31">
        <f>C33-C30</f>
        <v>276.916799271436</v>
      </c>
      <c r="D35" s="31">
        <f>D33-D30</f>
        <v>107.589833306956</v>
      </c>
      <c r="E35" s="31">
        <f>E33-E30</f>
        <v>169.326965964477</v>
      </c>
      <c r="F35" s="31">
        <f>F33-F30</f>
        <v>364.61097425176</v>
      </c>
      <c r="G35" s="31">
        <f>G33-G30</f>
        <v>-135.523098386711</v>
      </c>
      <c r="H35" s="18"/>
    </row>
    <row r="36" spans="1:8">
      <c r="A36" s="18" t="s">
        <v>181</v>
      </c>
      <c r="B36" s="18"/>
      <c r="C36" s="31">
        <f>C32/(项目预算表!C20*365/1000)</f>
        <v>821.484487647958</v>
      </c>
      <c r="D36" s="31">
        <f>D32/(项目预算表!D20*365/1000)</f>
        <v>245.658478675983</v>
      </c>
      <c r="E36" s="31">
        <f>E32/(项目预算表!E20*365/1000)</f>
        <v>517.148545568549</v>
      </c>
      <c r="F36" s="31">
        <f>F32/(项目预算表!F20*365/1000)</f>
        <v>838.602310836323</v>
      </c>
      <c r="G36" s="31">
        <f>G32/(项目预算表!G20*365/1000)</f>
        <v>1268.94196637113</v>
      </c>
      <c r="H36" s="18"/>
    </row>
    <row r="37" spans="1:8">
      <c r="A37" s="18"/>
      <c r="B37" s="18"/>
      <c r="C37" s="18"/>
      <c r="D37" s="18"/>
      <c r="E37" s="18"/>
      <c r="F37" s="18"/>
      <c r="G37" s="18"/>
      <c r="H37" s="18"/>
    </row>
    <row r="38" spans="1:8">
      <c r="A38" s="18" t="s">
        <v>182</v>
      </c>
      <c r="B38" s="18"/>
      <c r="C38" s="31">
        <v>1000</v>
      </c>
      <c r="D38" s="31"/>
      <c r="E38" s="31"/>
      <c r="F38" s="31">
        <v>4000</v>
      </c>
      <c r="G38" s="31">
        <v>20000</v>
      </c>
      <c r="H38" s="18"/>
    </row>
    <row r="39" spans="1:8">
      <c r="A39" s="18" t="s">
        <v>181</v>
      </c>
      <c r="B39" s="18"/>
      <c r="C39" s="31">
        <f>C38/(项目预算表!C20*365/1000)</f>
        <v>136.986301369863</v>
      </c>
      <c r="D39" s="31"/>
      <c r="E39" s="31"/>
      <c r="F39" s="31">
        <f>F38/(项目预算表!F20*365/1000)</f>
        <v>365.296803652968</v>
      </c>
      <c r="G39" s="31">
        <f>G38/(项目预算表!G20*365/1000)</f>
        <v>1369.86301369863</v>
      </c>
      <c r="H39" s="18"/>
    </row>
    <row r="40" spans="1:8">
      <c r="A40" s="30" t="s">
        <v>54</v>
      </c>
      <c r="B40" s="30"/>
      <c r="C40" s="31">
        <f>C38*0.2-(C30-C22)-C38*项目预算表!D21*(项目预算表!D22+项目预算表!D23)</f>
        <v>-640.064474993509</v>
      </c>
      <c r="D40" s="18"/>
      <c r="E40" s="18"/>
      <c r="F40" s="31">
        <f>F38*0.2-(F30-F22)-F38*项目预算表!F21*(项目预算表!F22+项目预算表!F23)</f>
        <v>-677.343180819413</v>
      </c>
      <c r="G40" s="31">
        <f>G38*0.2-(G30-G22)-G38*项目预算表!G21*(项目预算表!G22+项目预算表!G23)</f>
        <v>168.305982451099</v>
      </c>
      <c r="H40" s="18"/>
    </row>
    <row r="41" spans="1:8">
      <c r="A41" s="18"/>
      <c r="B41" s="18"/>
      <c r="C41" s="18"/>
      <c r="D41" s="18"/>
      <c r="E41" s="18"/>
      <c r="F41" s="18"/>
      <c r="G41" s="18"/>
      <c r="H41" s="18"/>
    </row>
    <row r="42" spans="1:8">
      <c r="A42" s="18"/>
      <c r="B42" s="18"/>
      <c r="C42" s="18"/>
      <c r="D42" s="18"/>
      <c r="E42" s="18"/>
      <c r="F42" s="18"/>
      <c r="G42" s="18"/>
      <c r="H42" s="18"/>
    </row>
    <row r="43" spans="1:8">
      <c r="A43" s="18"/>
      <c r="B43" s="18"/>
      <c r="C43" s="18"/>
      <c r="D43" s="18"/>
      <c r="E43" s="18"/>
      <c r="F43" s="18"/>
      <c r="G43" s="18"/>
      <c r="H43" s="18"/>
    </row>
    <row r="44" spans="1:8">
      <c r="A44" s="18"/>
      <c r="B44" s="18"/>
      <c r="C44" s="18"/>
      <c r="D44" s="18"/>
      <c r="E44" s="18"/>
      <c r="F44" s="18"/>
      <c r="G44" s="18"/>
      <c r="H44" s="18"/>
    </row>
    <row r="45" spans="1:8">
      <c r="A45" s="18"/>
      <c r="B45" s="18"/>
      <c r="C45" s="18"/>
      <c r="D45" s="18"/>
      <c r="E45" s="18"/>
      <c r="F45" s="18"/>
      <c r="G45" s="18"/>
      <c r="H45" s="18"/>
    </row>
    <row r="46" spans="1:8">
      <c r="A46" s="18"/>
      <c r="B46" s="18"/>
      <c r="C46" s="18"/>
      <c r="D46" s="18"/>
      <c r="E46" s="18"/>
      <c r="F46" s="18"/>
      <c r="G46" s="18"/>
      <c r="H46" s="18"/>
    </row>
    <row r="47" spans="1:8">
      <c r="A47" s="18"/>
      <c r="B47" s="18"/>
      <c r="C47" s="18"/>
      <c r="D47" s="18"/>
      <c r="E47" s="18"/>
      <c r="F47" s="18"/>
      <c r="G47" s="18"/>
      <c r="H47" s="18"/>
    </row>
    <row r="48" spans="1:8">
      <c r="A48" s="18"/>
      <c r="B48" s="18"/>
      <c r="C48" s="18"/>
      <c r="D48" s="18"/>
      <c r="E48" s="18"/>
      <c r="F48" s="18"/>
      <c r="G48" s="18"/>
      <c r="H48" s="18"/>
    </row>
    <row r="49" spans="1:8">
      <c r="A49" s="18"/>
      <c r="B49" s="18"/>
      <c r="C49" s="18"/>
      <c r="D49" s="18"/>
      <c r="E49" s="18"/>
      <c r="F49" s="18"/>
      <c r="G49" s="18"/>
      <c r="H49" s="18"/>
    </row>
    <row r="50" spans="1:8">
      <c r="A50" s="18"/>
      <c r="B50" s="18"/>
      <c r="C50" s="18"/>
      <c r="D50" s="18"/>
      <c r="E50" s="18"/>
      <c r="F50" s="18"/>
      <c r="G50" s="18"/>
      <c r="H50" s="18"/>
    </row>
    <row r="51" spans="1:8">
      <c r="A51" s="18"/>
      <c r="B51" s="18"/>
      <c r="C51" s="18"/>
      <c r="D51" s="18"/>
      <c r="E51" s="18"/>
      <c r="F51" s="18"/>
      <c r="G51" s="18"/>
      <c r="H51" s="18"/>
    </row>
    <row r="52" spans="1:8">
      <c r="A52" s="18"/>
      <c r="B52" s="18"/>
      <c r="C52" s="18"/>
      <c r="D52" s="18"/>
      <c r="E52" s="18"/>
      <c r="F52" s="18"/>
      <c r="G52" s="18"/>
      <c r="H52" s="18"/>
    </row>
    <row r="53" spans="1:8">
      <c r="A53" s="18"/>
      <c r="B53" s="18"/>
      <c r="C53" s="18"/>
      <c r="D53" s="18"/>
      <c r="E53" s="18"/>
      <c r="F53" s="18"/>
      <c r="G53" s="18"/>
      <c r="H53" s="18"/>
    </row>
    <row r="54" spans="1:8">
      <c r="A54" s="18"/>
      <c r="B54" s="18"/>
      <c r="C54" s="18"/>
      <c r="D54" s="18"/>
      <c r="E54" s="18"/>
      <c r="F54" s="18"/>
      <c r="G54" s="18"/>
      <c r="H54" s="18"/>
    </row>
    <row r="55" spans="1:8">
      <c r="A55" s="18"/>
      <c r="B55" s="18"/>
      <c r="C55" s="18"/>
      <c r="D55" s="18"/>
      <c r="E55" s="18"/>
      <c r="F55" s="18"/>
      <c r="G55" s="18"/>
      <c r="H55" s="18"/>
    </row>
    <row r="56" spans="1:8">
      <c r="A56" s="18"/>
      <c r="B56" s="18"/>
      <c r="C56" s="18"/>
      <c r="D56" s="18"/>
      <c r="E56" s="18"/>
      <c r="F56" s="18"/>
      <c r="G56" s="18"/>
      <c r="H56" s="18"/>
    </row>
    <row r="57" spans="1:8">
      <c r="A57" s="18"/>
      <c r="B57" s="18"/>
      <c r="C57" s="18"/>
      <c r="D57" s="18"/>
      <c r="E57" s="18"/>
      <c r="F57" s="18"/>
      <c r="G57" s="18"/>
      <c r="H57" s="18"/>
    </row>
    <row r="58" spans="1:8">
      <c r="A58" s="18"/>
      <c r="B58" s="18"/>
      <c r="C58" s="18"/>
      <c r="D58" s="18"/>
      <c r="E58" s="18"/>
      <c r="F58" s="18"/>
      <c r="G58" s="18"/>
      <c r="H58" s="18"/>
    </row>
    <row r="59" spans="1:8">
      <c r="A59" s="18"/>
      <c r="B59" s="18"/>
      <c r="C59" s="18"/>
      <c r="D59" s="18"/>
      <c r="E59" s="18"/>
      <c r="F59" s="18"/>
      <c r="G59" s="18"/>
      <c r="H59" s="18"/>
    </row>
    <row r="60" spans="1:8">
      <c r="A60" s="18"/>
      <c r="B60" s="18"/>
      <c r="C60" s="18"/>
      <c r="D60" s="18"/>
      <c r="E60" s="18"/>
      <c r="F60" s="18"/>
      <c r="G60" s="18"/>
      <c r="H60" s="18"/>
    </row>
    <row r="61" spans="1:8">
      <c r="A61" s="18"/>
      <c r="B61" s="18"/>
      <c r="C61" s="18"/>
      <c r="D61" s="18"/>
      <c r="E61" s="18"/>
      <c r="F61" s="18"/>
      <c r="G61" s="18"/>
      <c r="H61" s="18"/>
    </row>
    <row r="62" spans="1:8">
      <c r="A62" s="18"/>
      <c r="B62" s="18"/>
      <c r="C62" s="18"/>
      <c r="D62" s="18"/>
      <c r="E62" s="18"/>
      <c r="F62" s="18"/>
      <c r="G62" s="18"/>
      <c r="H62" s="18"/>
    </row>
    <row r="63" spans="1:8">
      <c r="A63" s="18"/>
      <c r="B63" s="18"/>
      <c r="C63" s="18"/>
      <c r="D63" s="18"/>
      <c r="E63" s="18"/>
      <c r="F63" s="18"/>
      <c r="G63" s="18"/>
      <c r="H63" s="18"/>
    </row>
    <row r="64" spans="1:8">
      <c r="A64" s="18"/>
      <c r="B64" s="18"/>
      <c r="C64" s="18"/>
      <c r="D64" s="18"/>
      <c r="E64" s="18"/>
      <c r="F64" s="18"/>
      <c r="G64" s="18"/>
      <c r="H64" s="18"/>
    </row>
    <row r="65" spans="1:8">
      <c r="A65" s="18"/>
      <c r="B65" s="18"/>
      <c r="C65" s="18"/>
      <c r="D65" s="18"/>
      <c r="E65" s="18"/>
      <c r="F65" s="18"/>
      <c r="G65" s="18"/>
      <c r="H65" s="18"/>
    </row>
    <row r="66" spans="1:8">
      <c r="A66" s="18"/>
      <c r="B66" s="18"/>
      <c r="C66" s="18"/>
      <c r="D66" s="18"/>
      <c r="E66" s="18"/>
      <c r="F66" s="18"/>
      <c r="G66" s="18"/>
      <c r="H66" s="18"/>
    </row>
    <row r="67" spans="1:8">
      <c r="A67" s="18"/>
      <c r="B67" s="18"/>
      <c r="C67" s="18"/>
      <c r="D67" s="18"/>
      <c r="E67" s="18"/>
      <c r="F67" s="18"/>
      <c r="G67" s="18"/>
      <c r="H67" s="18"/>
    </row>
    <row r="68" spans="1:8">
      <c r="A68" s="18"/>
      <c r="B68" s="18"/>
      <c r="C68" s="18"/>
      <c r="D68" s="18"/>
      <c r="E68" s="18"/>
      <c r="F68" s="18"/>
      <c r="G68" s="18"/>
      <c r="H68" s="18"/>
    </row>
    <row r="69" spans="1:8">
      <c r="A69" s="18"/>
      <c r="B69" s="18"/>
      <c r="C69" s="18"/>
      <c r="D69" s="18"/>
      <c r="E69" s="18"/>
      <c r="F69" s="18"/>
      <c r="G69" s="18"/>
      <c r="H69" s="18"/>
    </row>
    <row r="70" spans="1:8">
      <c r="A70" s="18"/>
      <c r="B70" s="18"/>
      <c r="C70" s="18"/>
      <c r="D70" s="18"/>
      <c r="E70" s="18"/>
      <c r="F70" s="18"/>
      <c r="G70" s="18"/>
      <c r="H70" s="18"/>
    </row>
    <row r="71" spans="1:8">
      <c r="A71" s="18"/>
      <c r="B71" s="18"/>
      <c r="C71" s="18"/>
      <c r="D71" s="18"/>
      <c r="E71" s="18"/>
      <c r="F71" s="18"/>
      <c r="G71" s="18"/>
      <c r="H71" s="18"/>
    </row>
    <row r="72" spans="1:8">
      <c r="A72" s="18"/>
      <c r="B72" s="18"/>
      <c r="C72" s="18"/>
      <c r="D72" s="18"/>
      <c r="E72" s="18"/>
      <c r="F72" s="18"/>
      <c r="G72" s="18"/>
      <c r="H72" s="18"/>
    </row>
    <row r="73" spans="1:8">
      <c r="A73" s="18"/>
      <c r="B73" s="18"/>
      <c r="C73" s="18"/>
      <c r="D73" s="18"/>
      <c r="E73" s="18"/>
      <c r="F73" s="18"/>
      <c r="G73" s="18"/>
      <c r="H73" s="18"/>
    </row>
    <row r="74" spans="1:8">
      <c r="A74" s="18"/>
      <c r="B74" s="18"/>
      <c r="C74" s="18"/>
      <c r="D74" s="18"/>
      <c r="E74" s="18"/>
      <c r="F74" s="18"/>
      <c r="G74" s="18"/>
      <c r="H74" s="18"/>
    </row>
    <row r="75" spans="1:8">
      <c r="A75" s="18"/>
      <c r="B75" s="18"/>
      <c r="C75" s="18"/>
      <c r="D75" s="18"/>
      <c r="E75" s="18"/>
      <c r="F75" s="18"/>
      <c r="G75" s="18"/>
      <c r="H75" s="18"/>
    </row>
    <row r="76" spans="1:8">
      <c r="A76" s="18"/>
      <c r="B76" s="18"/>
      <c r="C76" s="18"/>
      <c r="D76" s="18"/>
      <c r="E76" s="18"/>
      <c r="F76" s="18"/>
      <c r="G76" s="18"/>
      <c r="H76" s="18"/>
    </row>
    <row r="77" spans="1:8">
      <c r="A77" s="18"/>
      <c r="B77" s="18"/>
      <c r="C77" s="18"/>
      <c r="D77" s="18"/>
      <c r="E77" s="18"/>
      <c r="F77" s="18"/>
      <c r="G77" s="18"/>
      <c r="H77" s="18"/>
    </row>
    <row r="78" spans="1:8">
      <c r="A78" s="18"/>
      <c r="B78" s="18"/>
      <c r="C78" s="18"/>
      <c r="D78" s="18"/>
      <c r="E78" s="18"/>
      <c r="F78" s="18"/>
      <c r="G78" s="18"/>
      <c r="H78" s="18"/>
    </row>
    <row r="79" spans="1:8">
      <c r="A79" s="18"/>
      <c r="B79" s="18"/>
      <c r="C79" s="18"/>
      <c r="D79" s="18"/>
      <c r="E79" s="18"/>
      <c r="F79" s="18"/>
      <c r="G79" s="18"/>
      <c r="H79" s="18"/>
    </row>
    <row r="80" spans="1:8">
      <c r="A80" s="18"/>
      <c r="B80" s="18"/>
      <c r="C80" s="18"/>
      <c r="D80" s="18"/>
      <c r="E80" s="18"/>
      <c r="F80" s="18"/>
      <c r="G80" s="18"/>
      <c r="H80" s="18"/>
    </row>
    <row r="81" spans="1:8">
      <c r="A81" s="18"/>
      <c r="B81" s="18"/>
      <c r="C81" s="18"/>
      <c r="D81" s="18"/>
      <c r="E81" s="18"/>
      <c r="F81" s="18"/>
      <c r="G81" s="18"/>
      <c r="H81" s="18"/>
    </row>
    <row r="82" spans="1:8">
      <c r="A82" s="18"/>
      <c r="B82" s="18"/>
      <c r="C82" s="18"/>
      <c r="D82" s="18"/>
      <c r="E82" s="18"/>
      <c r="F82" s="18"/>
      <c r="G82" s="18"/>
      <c r="H82" s="18"/>
    </row>
    <row r="83" spans="1:8">
      <c r="A83" s="18"/>
      <c r="B83" s="18"/>
      <c r="C83" s="18"/>
      <c r="D83" s="18"/>
      <c r="E83" s="18"/>
      <c r="F83" s="18"/>
      <c r="G83" s="18"/>
      <c r="H83" s="18"/>
    </row>
    <row r="84" spans="1:8">
      <c r="A84" s="18"/>
      <c r="B84" s="18"/>
      <c r="C84" s="18"/>
      <c r="D84" s="18"/>
      <c r="E84" s="18"/>
      <c r="F84" s="18"/>
      <c r="G84" s="18"/>
      <c r="H84" s="18"/>
    </row>
    <row r="85" spans="1:8">
      <c r="A85" s="18"/>
      <c r="B85" s="18"/>
      <c r="C85" s="18"/>
      <c r="D85" s="18"/>
      <c r="E85" s="18"/>
      <c r="F85" s="18"/>
      <c r="G85" s="18"/>
      <c r="H85" s="18"/>
    </row>
    <row r="86" spans="1:8">
      <c r="A86" s="18"/>
      <c r="B86" s="18"/>
      <c r="C86" s="18"/>
      <c r="D86" s="18"/>
      <c r="E86" s="18"/>
      <c r="F86" s="18"/>
      <c r="G86" s="18"/>
      <c r="H86" s="18"/>
    </row>
    <row r="87" spans="1:8">
      <c r="A87" s="18"/>
      <c r="B87" s="18"/>
      <c r="C87" s="18"/>
      <c r="D87" s="18"/>
      <c r="E87" s="18"/>
      <c r="F87" s="18"/>
      <c r="G87" s="18"/>
      <c r="H87" s="18"/>
    </row>
    <row r="88" spans="1:8">
      <c r="A88" s="18"/>
      <c r="B88" s="18"/>
      <c r="C88" s="18"/>
      <c r="D88" s="18"/>
      <c r="E88" s="18"/>
      <c r="F88" s="18"/>
      <c r="G88" s="18"/>
      <c r="H88" s="18"/>
    </row>
    <row r="89" spans="1:8">
      <c r="A89" s="18"/>
      <c r="B89" s="18"/>
      <c r="C89" s="18"/>
      <c r="D89" s="18"/>
      <c r="E89" s="18"/>
      <c r="F89" s="18"/>
      <c r="G89" s="18"/>
      <c r="H89" s="18"/>
    </row>
    <row r="90" spans="1:8">
      <c r="A90" s="18"/>
      <c r="B90" s="18"/>
      <c r="C90" s="18"/>
      <c r="D90" s="18"/>
      <c r="E90" s="18"/>
      <c r="F90" s="18"/>
      <c r="G90" s="18"/>
      <c r="H90" s="18"/>
    </row>
    <row r="91" spans="1:8">
      <c r="A91" s="18"/>
      <c r="B91" s="18"/>
      <c r="C91" s="18"/>
      <c r="D91" s="18"/>
      <c r="E91" s="18"/>
      <c r="F91" s="18"/>
      <c r="G91" s="18"/>
      <c r="H91" s="18"/>
    </row>
    <row r="92" spans="1:8">
      <c r="A92" s="18"/>
      <c r="B92" s="18"/>
      <c r="C92" s="18"/>
      <c r="D92" s="18"/>
      <c r="E92" s="18"/>
      <c r="F92" s="18"/>
      <c r="G92" s="18"/>
      <c r="H92" s="18"/>
    </row>
    <row r="93" spans="1:8">
      <c r="A93" s="18"/>
      <c r="B93" s="18"/>
      <c r="C93" s="18"/>
      <c r="D93" s="18"/>
      <c r="E93" s="18"/>
      <c r="F93" s="18"/>
      <c r="G93" s="18"/>
      <c r="H93" s="18"/>
    </row>
    <row r="94" spans="1:8">
      <c r="A94" s="18"/>
      <c r="B94" s="18"/>
      <c r="C94" s="18"/>
      <c r="D94" s="18"/>
      <c r="E94" s="18"/>
      <c r="F94" s="18"/>
      <c r="G94" s="18"/>
      <c r="H94" s="18"/>
    </row>
    <row r="95" spans="1:8">
      <c r="A95" s="18"/>
      <c r="B95" s="18"/>
      <c r="C95" s="18"/>
      <c r="D95" s="18"/>
      <c r="E95" s="18"/>
      <c r="F95" s="18"/>
      <c r="G95" s="18"/>
      <c r="H95" s="18"/>
    </row>
    <row r="96" spans="1:8">
      <c r="A96" s="18"/>
      <c r="B96" s="18"/>
      <c r="C96" s="18"/>
      <c r="D96" s="18"/>
      <c r="E96" s="18"/>
      <c r="F96" s="18"/>
      <c r="G96" s="18"/>
      <c r="H96" s="18"/>
    </row>
    <row r="97" spans="1:8">
      <c r="A97" s="18"/>
      <c r="B97" s="18"/>
      <c r="C97" s="18"/>
      <c r="D97" s="18"/>
      <c r="E97" s="18"/>
      <c r="F97" s="18"/>
      <c r="G97" s="18"/>
      <c r="H97" s="18"/>
    </row>
    <row r="98" spans="1:8">
      <c r="A98" s="18"/>
      <c r="B98" s="18"/>
      <c r="C98" s="18"/>
      <c r="D98" s="18"/>
      <c r="E98" s="18"/>
      <c r="F98" s="18"/>
      <c r="G98" s="18"/>
      <c r="H98" s="18"/>
    </row>
    <row r="99" spans="1:8">
      <c r="A99" s="18"/>
      <c r="B99" s="18"/>
      <c r="C99" s="18"/>
      <c r="D99" s="18"/>
      <c r="E99" s="18"/>
      <c r="F99" s="18"/>
      <c r="G99" s="18"/>
      <c r="H99" s="18"/>
    </row>
    <row r="100" spans="1:8">
      <c r="A100" s="18"/>
      <c r="B100" s="18"/>
      <c r="C100" s="18"/>
      <c r="D100" s="18"/>
      <c r="E100" s="18"/>
      <c r="F100" s="18"/>
      <c r="G100" s="18"/>
      <c r="H100" s="18"/>
    </row>
    <row r="101" spans="1:8">
      <c r="A101" s="18"/>
      <c r="B101" s="18"/>
      <c r="C101" s="18"/>
      <c r="D101" s="18"/>
      <c r="E101" s="18"/>
      <c r="F101" s="18"/>
      <c r="G101" s="18"/>
      <c r="H101" s="18"/>
    </row>
    <row r="102" spans="1:8">
      <c r="A102" s="18"/>
      <c r="B102" s="18"/>
      <c r="C102" s="18"/>
      <c r="D102" s="18"/>
      <c r="E102" s="18"/>
      <c r="F102" s="18"/>
      <c r="G102" s="18"/>
      <c r="H102" s="18"/>
    </row>
    <row r="103" spans="1:8">
      <c r="A103" s="18"/>
      <c r="B103" s="18"/>
      <c r="C103" s="18"/>
      <c r="D103" s="18"/>
      <c r="E103" s="18"/>
      <c r="F103" s="18"/>
      <c r="G103" s="18"/>
      <c r="H103" s="18"/>
    </row>
    <row r="104" spans="1:8">
      <c r="A104" s="18"/>
      <c r="B104" s="18"/>
      <c r="C104" s="18"/>
      <c r="D104" s="18"/>
      <c r="E104" s="18"/>
      <c r="F104" s="18"/>
      <c r="G104" s="18"/>
      <c r="H104" s="18"/>
    </row>
    <row r="105" spans="1:8">
      <c r="A105" s="18"/>
      <c r="B105" s="18"/>
      <c r="C105" s="18"/>
      <c r="D105" s="18"/>
      <c r="E105" s="18"/>
      <c r="F105" s="18"/>
      <c r="G105" s="18"/>
      <c r="H105" s="18"/>
    </row>
    <row r="106" spans="1:8">
      <c r="A106" s="18"/>
      <c r="B106" s="18"/>
      <c r="C106" s="18"/>
      <c r="D106" s="18"/>
      <c r="E106" s="18"/>
      <c r="F106" s="18"/>
      <c r="G106" s="18"/>
      <c r="H106" s="18"/>
    </row>
    <row r="107" spans="1:8">
      <c r="A107" s="18"/>
      <c r="B107" s="18"/>
      <c r="C107" s="18"/>
      <c r="D107" s="18"/>
      <c r="E107" s="18"/>
      <c r="F107" s="18"/>
      <c r="G107" s="18"/>
      <c r="H107" s="18"/>
    </row>
    <row r="108" spans="1:8">
      <c r="A108" s="18"/>
      <c r="B108" s="18"/>
      <c r="C108" s="18"/>
      <c r="D108" s="18"/>
      <c r="E108" s="18"/>
      <c r="F108" s="18"/>
      <c r="G108" s="18"/>
      <c r="H108" s="18"/>
    </row>
    <row r="109" spans="1:8">
      <c r="A109" s="18"/>
      <c r="B109" s="18"/>
      <c r="C109" s="18"/>
      <c r="D109" s="18"/>
      <c r="E109" s="18"/>
      <c r="F109" s="18"/>
      <c r="G109" s="18"/>
      <c r="H109" s="18"/>
    </row>
    <row r="110" spans="1:8">
      <c r="A110" s="18"/>
      <c r="B110" s="18"/>
      <c r="C110" s="18"/>
      <c r="D110" s="18"/>
      <c r="E110" s="18"/>
      <c r="F110" s="18"/>
      <c r="G110" s="18"/>
      <c r="H110" s="18"/>
    </row>
    <row r="111" spans="1:8">
      <c r="A111" s="18"/>
      <c r="B111" s="18"/>
      <c r="C111" s="18"/>
      <c r="D111" s="18"/>
      <c r="E111" s="18"/>
      <c r="F111" s="18"/>
      <c r="G111" s="18"/>
      <c r="H111" s="18"/>
    </row>
    <row r="112" spans="1:8">
      <c r="A112" s="18"/>
      <c r="B112" s="18"/>
      <c r="C112" s="18"/>
      <c r="D112" s="18"/>
      <c r="E112" s="18"/>
      <c r="F112" s="18"/>
      <c r="G112" s="18"/>
      <c r="H112" s="18"/>
    </row>
    <row r="113" spans="1:8">
      <c r="A113" s="18"/>
      <c r="B113" s="18"/>
      <c r="C113" s="18"/>
      <c r="D113" s="18"/>
      <c r="E113" s="18"/>
      <c r="F113" s="18"/>
      <c r="G113" s="18"/>
      <c r="H113" s="18"/>
    </row>
    <row r="114" spans="1:8">
      <c r="A114" s="18"/>
      <c r="B114" s="18"/>
      <c r="C114" s="18"/>
      <c r="D114" s="18"/>
      <c r="E114" s="18"/>
      <c r="F114" s="18"/>
      <c r="G114" s="18"/>
      <c r="H114" s="18"/>
    </row>
    <row r="115" spans="1:8">
      <c r="A115" s="18"/>
      <c r="B115" s="18"/>
      <c r="C115" s="18"/>
      <c r="D115" s="18"/>
      <c r="E115" s="18"/>
      <c r="F115" s="18"/>
      <c r="G115" s="18"/>
      <c r="H115" s="18"/>
    </row>
    <row r="116" spans="1:8">
      <c r="A116" s="18"/>
      <c r="B116" s="18"/>
      <c r="C116" s="18"/>
      <c r="D116" s="18"/>
      <c r="E116" s="18"/>
      <c r="F116" s="18"/>
      <c r="G116" s="18"/>
      <c r="H116" s="18"/>
    </row>
    <row r="117" spans="1:8">
      <c r="A117" s="18"/>
      <c r="B117" s="18"/>
      <c r="C117" s="18"/>
      <c r="D117" s="18"/>
      <c r="E117" s="18"/>
      <c r="F117" s="18"/>
      <c r="G117" s="18"/>
      <c r="H117" s="18"/>
    </row>
    <row r="118" spans="1:8">
      <c r="A118" s="18"/>
      <c r="B118" s="18"/>
      <c r="C118" s="18"/>
      <c r="D118" s="18"/>
      <c r="E118" s="18"/>
      <c r="F118" s="18"/>
      <c r="G118" s="18"/>
      <c r="H118" s="18"/>
    </row>
    <row r="119" spans="1:8">
      <c r="A119" s="18"/>
      <c r="B119" s="18"/>
      <c r="C119" s="18"/>
      <c r="D119" s="18"/>
      <c r="E119" s="18"/>
      <c r="F119" s="18"/>
      <c r="G119" s="18"/>
      <c r="H119" s="18"/>
    </row>
    <row r="120" spans="1:8">
      <c r="A120" s="18"/>
      <c r="B120" s="18"/>
      <c r="C120" s="18"/>
      <c r="D120" s="18"/>
      <c r="E120" s="18"/>
      <c r="F120" s="18"/>
      <c r="G120" s="18"/>
      <c r="H120" s="18"/>
    </row>
    <row r="121" spans="1:8">
      <c r="A121" s="18"/>
      <c r="B121" s="18"/>
      <c r="C121" s="18"/>
      <c r="D121" s="18"/>
      <c r="E121" s="18"/>
      <c r="F121" s="18"/>
      <c r="G121" s="18"/>
      <c r="H121" s="18"/>
    </row>
    <row r="122" spans="1:8">
      <c r="A122" s="18"/>
      <c r="B122" s="18"/>
      <c r="C122" s="18"/>
      <c r="D122" s="18"/>
      <c r="E122" s="18"/>
      <c r="F122" s="18"/>
      <c r="G122" s="18"/>
      <c r="H122" s="18"/>
    </row>
    <row r="123" spans="1:8">
      <c r="A123" s="18"/>
      <c r="B123" s="18"/>
      <c r="C123" s="18"/>
      <c r="D123" s="18"/>
      <c r="E123" s="18"/>
      <c r="F123" s="18"/>
      <c r="G123" s="18"/>
      <c r="H123" s="18"/>
    </row>
    <row r="124" spans="1:8">
      <c r="A124" s="18"/>
      <c r="B124" s="18"/>
      <c r="C124" s="18"/>
      <c r="D124" s="18"/>
      <c r="E124" s="18"/>
      <c r="F124" s="18"/>
      <c r="G124" s="18"/>
      <c r="H124" s="18"/>
    </row>
    <row r="125" spans="1:8">
      <c r="A125" s="18"/>
      <c r="B125" s="18"/>
      <c r="C125" s="18"/>
      <c r="D125" s="18"/>
      <c r="E125" s="18"/>
      <c r="F125" s="18"/>
      <c r="G125" s="18"/>
      <c r="H125" s="18"/>
    </row>
    <row r="126" spans="1:8">
      <c r="A126" s="18"/>
      <c r="B126" s="18"/>
      <c r="C126" s="18"/>
      <c r="D126" s="18"/>
      <c r="E126" s="18"/>
      <c r="F126" s="18"/>
      <c r="G126" s="18"/>
      <c r="H126" s="18"/>
    </row>
    <row r="127" spans="1:8">
      <c r="A127" s="18"/>
      <c r="B127" s="18"/>
      <c r="C127" s="18"/>
      <c r="D127" s="18"/>
      <c r="E127" s="18"/>
      <c r="F127" s="18"/>
      <c r="G127" s="18"/>
      <c r="H127" s="18"/>
    </row>
    <row r="128" spans="1:8">
      <c r="A128" s="18"/>
      <c r="B128" s="18"/>
      <c r="C128" s="18"/>
      <c r="D128" s="18"/>
      <c r="E128" s="18"/>
      <c r="F128" s="18"/>
      <c r="G128" s="18"/>
      <c r="H128" s="18"/>
    </row>
    <row r="129" spans="1:8">
      <c r="A129" s="18"/>
      <c r="B129" s="18"/>
      <c r="C129" s="18"/>
      <c r="D129" s="18"/>
      <c r="E129" s="18"/>
      <c r="F129" s="18"/>
      <c r="G129" s="18"/>
      <c r="H129" s="18"/>
    </row>
    <row r="130" spans="1:8">
      <c r="A130" s="18"/>
      <c r="B130" s="18"/>
      <c r="C130" s="18"/>
      <c r="D130" s="18"/>
      <c r="E130" s="18"/>
      <c r="F130" s="18"/>
      <c r="G130" s="18"/>
      <c r="H130" s="18"/>
    </row>
    <row r="131" spans="1:8">
      <c r="A131" s="18"/>
      <c r="B131" s="18"/>
      <c r="C131" s="18"/>
      <c r="D131" s="18"/>
      <c r="E131" s="18"/>
      <c r="F131" s="18"/>
      <c r="G131" s="18"/>
      <c r="H131" s="18"/>
    </row>
    <row r="132" spans="1:8">
      <c r="A132" s="18"/>
      <c r="B132" s="18"/>
      <c r="C132" s="18"/>
      <c r="D132" s="18"/>
      <c r="E132" s="18"/>
      <c r="F132" s="18"/>
      <c r="G132" s="18"/>
      <c r="H132" s="18"/>
    </row>
    <row r="133" spans="1:8">
      <c r="A133" s="18"/>
      <c r="B133" s="18"/>
      <c r="C133" s="18"/>
      <c r="D133" s="18"/>
      <c r="E133" s="18"/>
      <c r="F133" s="18"/>
      <c r="G133" s="18"/>
      <c r="H133" s="18"/>
    </row>
    <row r="134" spans="1:8">
      <c r="A134" s="18"/>
      <c r="B134" s="18"/>
      <c r="C134" s="18"/>
      <c r="D134" s="18"/>
      <c r="E134" s="18"/>
      <c r="F134" s="18"/>
      <c r="G134" s="18"/>
      <c r="H134" s="18"/>
    </row>
    <row r="135" spans="1:8">
      <c r="A135" s="18"/>
      <c r="B135" s="18"/>
      <c r="C135" s="18"/>
      <c r="D135" s="18"/>
      <c r="E135" s="18"/>
      <c r="F135" s="18"/>
      <c r="G135" s="18"/>
      <c r="H135" s="18"/>
    </row>
    <row r="136" spans="1:8">
      <c r="A136" s="18"/>
      <c r="B136" s="18"/>
      <c r="C136" s="18"/>
      <c r="D136" s="18"/>
      <c r="E136" s="18"/>
      <c r="F136" s="18"/>
      <c r="G136" s="18"/>
      <c r="H136" s="18"/>
    </row>
    <row r="137" spans="1:8">
      <c r="A137" s="18"/>
      <c r="B137" s="18"/>
      <c r="C137" s="18"/>
      <c r="D137" s="18"/>
      <c r="E137" s="18"/>
      <c r="F137" s="18"/>
      <c r="G137" s="18"/>
      <c r="H137" s="18"/>
    </row>
    <row r="138" spans="1:8">
      <c r="A138" s="18"/>
      <c r="B138" s="18"/>
      <c r="C138" s="18"/>
      <c r="D138" s="18"/>
      <c r="E138" s="18"/>
      <c r="F138" s="18"/>
      <c r="G138" s="18"/>
      <c r="H138" s="18"/>
    </row>
    <row r="139" spans="1:8">
      <c r="A139" s="18"/>
      <c r="B139" s="18"/>
      <c r="C139" s="18"/>
      <c r="D139" s="18"/>
      <c r="E139" s="18"/>
      <c r="F139" s="18"/>
      <c r="G139" s="18"/>
      <c r="H139" s="18"/>
    </row>
    <row r="140" spans="1:8">
      <c r="A140" s="18"/>
      <c r="B140" s="18"/>
      <c r="C140" s="18"/>
      <c r="D140" s="18"/>
      <c r="E140" s="18"/>
      <c r="F140" s="18"/>
      <c r="G140" s="18"/>
      <c r="H140" s="18"/>
    </row>
    <row r="141" spans="1:8">
      <c r="A141" s="18"/>
      <c r="B141" s="18"/>
      <c r="C141" s="18"/>
      <c r="D141" s="18"/>
      <c r="E141" s="18"/>
      <c r="F141" s="18"/>
      <c r="G141" s="18"/>
      <c r="H141" s="18"/>
    </row>
    <row r="142" spans="1:8">
      <c r="A142" s="18"/>
      <c r="B142" s="18"/>
      <c r="C142" s="18"/>
      <c r="D142" s="18"/>
      <c r="E142" s="18"/>
      <c r="F142" s="18"/>
      <c r="G142" s="18"/>
      <c r="H142" s="18"/>
    </row>
    <row r="143" spans="1:8">
      <c r="A143" s="18"/>
      <c r="B143" s="18"/>
      <c r="C143" s="18"/>
      <c r="D143" s="18"/>
      <c r="E143" s="18"/>
      <c r="F143" s="18"/>
      <c r="G143" s="18"/>
      <c r="H143" s="18"/>
    </row>
    <row r="144" spans="1:8">
      <c r="A144" s="18"/>
      <c r="B144" s="18"/>
      <c r="C144" s="18"/>
      <c r="D144" s="18"/>
      <c r="E144" s="18"/>
      <c r="F144" s="18"/>
      <c r="G144" s="18"/>
      <c r="H144" s="18"/>
    </row>
    <row r="145" spans="1:8">
      <c r="A145" s="18"/>
      <c r="B145" s="18"/>
      <c r="C145" s="18"/>
      <c r="D145" s="18"/>
      <c r="E145" s="18"/>
      <c r="F145" s="18"/>
      <c r="G145" s="18"/>
      <c r="H145" s="18"/>
    </row>
    <row r="146" spans="1:8">
      <c r="A146" s="18"/>
      <c r="B146" s="18"/>
      <c r="C146" s="18"/>
      <c r="D146" s="18"/>
      <c r="E146" s="18"/>
      <c r="F146" s="18"/>
      <c r="G146" s="18"/>
      <c r="H146" s="18"/>
    </row>
    <row r="147" spans="1:8">
      <c r="A147" s="18"/>
      <c r="B147" s="18"/>
      <c r="C147" s="18"/>
      <c r="D147" s="18"/>
      <c r="E147" s="18"/>
      <c r="F147" s="18"/>
      <c r="G147" s="18"/>
      <c r="H147" s="18"/>
    </row>
    <row r="148" spans="1:8">
      <c r="A148" s="18"/>
      <c r="B148" s="18"/>
      <c r="C148" s="18"/>
      <c r="D148" s="18"/>
      <c r="E148" s="18"/>
      <c r="F148" s="18"/>
      <c r="G148" s="18"/>
      <c r="H148" s="18"/>
    </row>
    <row r="149" spans="1:8">
      <c r="A149" s="18"/>
      <c r="B149" s="18"/>
      <c r="C149" s="18"/>
      <c r="D149" s="18"/>
      <c r="E149" s="18"/>
      <c r="F149" s="18"/>
      <c r="G149" s="18"/>
      <c r="H149" s="18"/>
    </row>
    <row r="150" spans="1:8">
      <c r="A150" s="18"/>
      <c r="B150" s="18"/>
      <c r="C150" s="18"/>
      <c r="D150" s="18"/>
      <c r="E150" s="18"/>
      <c r="F150" s="18"/>
      <c r="G150" s="18"/>
      <c r="H150" s="18"/>
    </row>
    <row r="151" spans="1:8">
      <c r="A151" s="18"/>
      <c r="B151" s="18"/>
      <c r="C151" s="18"/>
      <c r="D151" s="18"/>
      <c r="E151" s="18"/>
      <c r="F151" s="18"/>
      <c r="G151" s="18"/>
      <c r="H151" s="18"/>
    </row>
    <row r="152" spans="1:8">
      <c r="A152" s="18"/>
      <c r="B152" s="18"/>
      <c r="C152" s="18"/>
      <c r="D152" s="18"/>
      <c r="E152" s="18"/>
      <c r="F152" s="18"/>
      <c r="G152" s="18"/>
      <c r="H152" s="18"/>
    </row>
    <row r="153" spans="1:8">
      <c r="A153" s="18"/>
      <c r="B153" s="18"/>
      <c r="C153" s="18"/>
      <c r="D153" s="18"/>
      <c r="E153" s="18"/>
      <c r="F153" s="18"/>
      <c r="G153" s="18"/>
      <c r="H153" s="18"/>
    </row>
    <row r="154" spans="1:8">
      <c r="A154" s="18"/>
      <c r="B154" s="18"/>
      <c r="C154" s="18"/>
      <c r="D154" s="18"/>
      <c r="E154" s="18"/>
      <c r="F154" s="18"/>
      <c r="G154" s="18"/>
      <c r="H154" s="18"/>
    </row>
    <row r="155" spans="1:8">
      <c r="A155" s="18"/>
      <c r="B155" s="18"/>
      <c r="C155" s="18"/>
      <c r="D155" s="18"/>
      <c r="E155" s="18"/>
      <c r="F155" s="18"/>
      <c r="G155" s="18"/>
      <c r="H155" s="18"/>
    </row>
    <row r="156" spans="1:8">
      <c r="A156" s="18"/>
      <c r="B156" s="18"/>
      <c r="C156" s="18"/>
      <c r="D156" s="18"/>
      <c r="E156" s="18"/>
      <c r="F156" s="18"/>
      <c r="G156" s="18"/>
      <c r="H156" s="18"/>
    </row>
    <row r="157" spans="1:8">
      <c r="A157" s="18"/>
      <c r="B157" s="18"/>
      <c r="C157" s="18"/>
      <c r="D157" s="18"/>
      <c r="E157" s="18"/>
      <c r="F157" s="18"/>
      <c r="G157" s="18"/>
      <c r="H157" s="18"/>
    </row>
    <row r="158" spans="1:8">
      <c r="A158" s="18"/>
      <c r="B158" s="18"/>
      <c r="C158" s="18"/>
      <c r="D158" s="18"/>
      <c r="E158" s="18"/>
      <c r="F158" s="18"/>
      <c r="G158" s="18"/>
      <c r="H158" s="18"/>
    </row>
    <row r="159" spans="1:8">
      <c r="A159" s="18"/>
      <c r="B159" s="18"/>
      <c r="C159" s="18"/>
      <c r="D159" s="18"/>
      <c r="E159" s="18"/>
      <c r="F159" s="18"/>
      <c r="G159" s="18"/>
      <c r="H159" s="18"/>
    </row>
    <row r="160" spans="1:8">
      <c r="A160" s="18"/>
      <c r="B160" s="18"/>
      <c r="C160" s="18"/>
      <c r="D160" s="18"/>
      <c r="E160" s="18"/>
      <c r="F160" s="18"/>
      <c r="G160" s="18"/>
      <c r="H160" s="18"/>
    </row>
    <row r="161" spans="1:8">
      <c r="A161" s="18"/>
      <c r="B161" s="18"/>
      <c r="C161" s="18"/>
      <c r="D161" s="18"/>
      <c r="E161" s="18"/>
      <c r="F161" s="18"/>
      <c r="G161" s="18"/>
      <c r="H161" s="18"/>
    </row>
    <row r="162" spans="1:8">
      <c r="A162" s="18"/>
      <c r="B162" s="18"/>
      <c r="C162" s="18"/>
      <c r="D162" s="18"/>
      <c r="E162" s="18"/>
      <c r="F162" s="18"/>
      <c r="G162" s="18"/>
      <c r="H162" s="18"/>
    </row>
    <row r="163" spans="1:8">
      <c r="A163" s="18"/>
      <c r="B163" s="18"/>
      <c r="C163" s="18"/>
      <c r="D163" s="18"/>
      <c r="E163" s="18"/>
      <c r="F163" s="18"/>
      <c r="G163" s="18"/>
      <c r="H163" s="18"/>
    </row>
    <row r="164" spans="1:8">
      <c r="A164" s="18"/>
      <c r="B164" s="18"/>
      <c r="C164" s="18"/>
      <c r="D164" s="18"/>
      <c r="E164" s="18"/>
      <c r="F164" s="18"/>
      <c r="G164" s="18"/>
      <c r="H164" s="18"/>
    </row>
    <row r="165" spans="1:8">
      <c r="A165" s="18"/>
      <c r="B165" s="18"/>
      <c r="C165" s="18"/>
      <c r="D165" s="18"/>
      <c r="E165" s="18"/>
      <c r="F165" s="18"/>
      <c r="G165" s="18"/>
      <c r="H165" s="18"/>
    </row>
    <row r="166" spans="1:8">
      <c r="A166" s="18"/>
      <c r="B166" s="18"/>
      <c r="C166" s="18"/>
      <c r="D166" s="18"/>
      <c r="E166" s="18"/>
      <c r="F166" s="18"/>
      <c r="G166" s="18"/>
      <c r="H166" s="18"/>
    </row>
    <row r="167" spans="1:8">
      <c r="A167" s="18"/>
      <c r="B167" s="18"/>
      <c r="C167" s="18"/>
      <c r="D167" s="18"/>
      <c r="E167" s="18"/>
      <c r="F167" s="18"/>
      <c r="G167" s="18"/>
      <c r="H167" s="18"/>
    </row>
    <row r="168" spans="1:8">
      <c r="A168" s="18"/>
      <c r="B168" s="18"/>
      <c r="C168" s="18"/>
      <c r="D168" s="18"/>
      <c r="E168" s="18"/>
      <c r="F168" s="18"/>
      <c r="G168" s="18"/>
      <c r="H168" s="18"/>
    </row>
    <row r="169" spans="1:8">
      <c r="A169" s="18"/>
      <c r="B169" s="18"/>
      <c r="C169" s="18"/>
      <c r="D169" s="18"/>
      <c r="E169" s="18"/>
      <c r="F169" s="18"/>
      <c r="G169" s="18"/>
      <c r="H169" s="18"/>
    </row>
    <row r="170" spans="1:8">
      <c r="A170" s="18"/>
      <c r="B170" s="18"/>
      <c r="C170" s="18"/>
      <c r="D170" s="18"/>
      <c r="E170" s="18"/>
      <c r="F170" s="18"/>
      <c r="G170" s="18"/>
      <c r="H170" s="18"/>
    </row>
    <row r="171" spans="1:8">
      <c r="A171" s="18"/>
      <c r="B171" s="18"/>
      <c r="C171" s="18"/>
      <c r="D171" s="18"/>
      <c r="E171" s="18"/>
      <c r="F171" s="18"/>
      <c r="G171" s="18"/>
      <c r="H171" s="18"/>
    </row>
    <row r="172" spans="1:8">
      <c r="A172" s="18"/>
      <c r="B172" s="18"/>
      <c r="C172" s="18"/>
      <c r="D172" s="18"/>
      <c r="E172" s="18"/>
      <c r="F172" s="18"/>
      <c r="G172" s="18"/>
      <c r="H172" s="18"/>
    </row>
    <row r="173" spans="1:8">
      <c r="A173" s="18"/>
      <c r="B173" s="18"/>
      <c r="C173" s="18"/>
      <c r="D173" s="18"/>
      <c r="E173" s="18"/>
      <c r="F173" s="18"/>
      <c r="G173" s="18"/>
      <c r="H173" s="18"/>
    </row>
    <row r="174" spans="1:8">
      <c r="A174" s="18"/>
      <c r="B174" s="18"/>
      <c r="C174" s="18"/>
      <c r="D174" s="18"/>
      <c r="E174" s="18"/>
      <c r="F174" s="18"/>
      <c r="G174" s="18"/>
      <c r="H174" s="18"/>
    </row>
    <row r="175" spans="1:8">
      <c r="A175" s="18"/>
      <c r="B175" s="18"/>
      <c r="C175" s="18"/>
      <c r="D175" s="18"/>
      <c r="E175" s="18"/>
      <c r="F175" s="18"/>
      <c r="G175" s="18"/>
      <c r="H175" s="18"/>
    </row>
    <row r="176" spans="1:8">
      <c r="A176" s="18"/>
      <c r="B176" s="18"/>
      <c r="C176" s="18"/>
      <c r="D176" s="18"/>
      <c r="E176" s="18"/>
      <c r="F176" s="18"/>
      <c r="G176" s="18"/>
      <c r="H176" s="18"/>
    </row>
    <row r="177" spans="1:8">
      <c r="A177" s="18"/>
      <c r="B177" s="18"/>
      <c r="C177" s="18"/>
      <c r="D177" s="18"/>
      <c r="E177" s="18"/>
      <c r="F177" s="18"/>
      <c r="G177" s="18"/>
      <c r="H177" s="18"/>
    </row>
    <row r="178" spans="1:8">
      <c r="A178" s="18"/>
      <c r="B178" s="18"/>
      <c r="C178" s="18"/>
      <c r="D178" s="18"/>
      <c r="E178" s="18"/>
      <c r="F178" s="18"/>
      <c r="G178" s="18"/>
      <c r="H178" s="18"/>
    </row>
    <row r="179" spans="1:8">
      <c r="A179" s="18"/>
      <c r="B179" s="18"/>
      <c r="C179" s="18"/>
      <c r="D179" s="18"/>
      <c r="E179" s="18"/>
      <c r="F179" s="18"/>
      <c r="G179" s="18"/>
      <c r="H179" s="18"/>
    </row>
    <row r="180" spans="1:8">
      <c r="A180" s="18"/>
      <c r="B180" s="18"/>
      <c r="C180" s="18"/>
      <c r="D180" s="18"/>
      <c r="E180" s="18"/>
      <c r="F180" s="18"/>
      <c r="G180" s="18"/>
      <c r="H180" s="18"/>
    </row>
    <row r="181" spans="1:8">
      <c r="A181" s="18"/>
      <c r="B181" s="18"/>
      <c r="C181" s="18"/>
      <c r="D181" s="18"/>
      <c r="E181" s="18"/>
      <c r="F181" s="18"/>
      <c r="G181" s="18"/>
      <c r="H181" s="18"/>
    </row>
    <row r="182" spans="1:8">
      <c r="A182" s="18"/>
      <c r="B182" s="18"/>
      <c r="C182" s="18"/>
      <c r="D182" s="18"/>
      <c r="E182" s="18"/>
      <c r="F182" s="18"/>
      <c r="G182" s="18"/>
      <c r="H182" s="18"/>
    </row>
    <row r="183" spans="1:8">
      <c r="A183" s="18"/>
      <c r="B183" s="18"/>
      <c r="C183" s="18"/>
      <c r="D183" s="18"/>
      <c r="E183" s="18"/>
      <c r="F183" s="18"/>
      <c r="G183" s="18"/>
      <c r="H183" s="18"/>
    </row>
    <row r="184" spans="1:8">
      <c r="A184" s="18"/>
      <c r="B184" s="18"/>
      <c r="C184" s="18"/>
      <c r="D184" s="18"/>
      <c r="E184" s="18"/>
      <c r="F184" s="18"/>
      <c r="G184" s="18"/>
      <c r="H184" s="18"/>
    </row>
    <row r="185" spans="1:8">
      <c r="A185" s="18"/>
      <c r="B185" s="18"/>
      <c r="C185" s="18"/>
      <c r="D185" s="18"/>
      <c r="E185" s="18"/>
      <c r="F185" s="18"/>
      <c r="G185" s="18"/>
      <c r="H185" s="18"/>
    </row>
    <row r="186" spans="1:8">
      <c r="A186" s="18"/>
      <c r="B186" s="18"/>
      <c r="C186" s="18"/>
      <c r="D186" s="18"/>
      <c r="E186" s="18"/>
      <c r="F186" s="18"/>
      <c r="G186" s="18"/>
      <c r="H186" s="18"/>
    </row>
  </sheetData>
  <mergeCells count="7">
    <mergeCell ref="A1:G1"/>
    <mergeCell ref="C2:E2"/>
    <mergeCell ref="A2:A3"/>
    <mergeCell ref="B2:B3"/>
    <mergeCell ref="F2:F3"/>
    <mergeCell ref="G2:G3"/>
    <mergeCell ref="H2:H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T186"/>
  <sheetViews>
    <sheetView workbookViewId="0">
      <selection activeCell="D10" sqref="D10"/>
    </sheetView>
  </sheetViews>
  <sheetFormatPr defaultColWidth="14" defaultRowHeight="17.25"/>
  <cols>
    <col min="1" max="1" width="56.2857142857143" style="14" customWidth="1"/>
    <col min="2" max="2" width="16.7142857142857" style="14" customWidth="1"/>
    <col min="3" max="4" width="14.7142857142857" style="14" customWidth="1"/>
    <col min="5" max="5" width="130.428571428571" style="14" customWidth="1"/>
    <col min="6" max="16384" width="14" style="14"/>
  </cols>
  <sheetData>
    <row r="1" s="14" customFormat="1" ht="15" customHeight="1" spans="1:20">
      <c r="A1" s="15" t="s">
        <v>149</v>
      </c>
      <c r="B1" s="33"/>
      <c r="C1" s="32"/>
      <c r="D1" s="32"/>
      <c r="E1" s="17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="14" customFormat="1" ht="15" customHeight="1" spans="1:20">
      <c r="A2" s="15" t="s">
        <v>150</v>
      </c>
      <c r="B2" s="34" t="s">
        <v>2</v>
      </c>
      <c r="C2" s="34"/>
      <c r="D2" s="34"/>
      <c r="E2" s="19" t="s">
        <v>152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="14" customFormat="1" ht="15" customHeight="1" spans="1:20">
      <c r="A3" s="15"/>
      <c r="B3" s="15" t="s">
        <v>5</v>
      </c>
      <c r="C3" s="34" t="s">
        <v>6</v>
      </c>
      <c r="D3" s="34" t="s">
        <v>7</v>
      </c>
      <c r="E3" s="19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="14" customFormat="1" ht="15" customHeight="1" spans="1:20">
      <c r="A4" s="7" t="s">
        <v>153</v>
      </c>
      <c r="B4" s="7"/>
      <c r="C4" s="11"/>
      <c r="D4" s="11"/>
      <c r="E4" s="21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="14" customFormat="1" ht="15" customHeight="1" spans="1:20">
      <c r="A5" s="7" t="s">
        <v>121</v>
      </c>
      <c r="B5" s="35">
        <f>年度运营成本测算明细!C5</f>
        <v>123.75</v>
      </c>
      <c r="C5" s="22">
        <f>年度运营成本测算明细!D5</f>
        <v>27.5</v>
      </c>
      <c r="D5" s="22">
        <f>年度运营成本测算明细!E5</f>
        <v>96.25</v>
      </c>
      <c r="E5" s="7" t="s">
        <v>183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="14" customFormat="1" ht="15" customHeight="1" spans="1:20">
      <c r="A6" s="7" t="s">
        <v>73</v>
      </c>
      <c r="B6" s="35">
        <f>年度运营成本测算明细!C6</f>
        <v>275</v>
      </c>
      <c r="C6" s="22">
        <f>年度运营成本测算明细!D6</f>
        <v>68.75</v>
      </c>
      <c r="D6" s="22">
        <f>年度运营成本测算明细!E6</f>
        <v>206.25</v>
      </c>
      <c r="E6" s="7" t="s">
        <v>184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="14" customFormat="1" ht="15" customHeight="1" spans="1:20">
      <c r="A7" s="7" t="s">
        <v>74</v>
      </c>
      <c r="B7" s="35">
        <f>年度运营成本测算明细!C7</f>
        <v>151.25</v>
      </c>
      <c r="C7" s="22">
        <f>年度运营成本测算明细!D7</f>
        <v>27.5</v>
      </c>
      <c r="D7" s="22">
        <f>年度运营成本测算明细!E7</f>
        <v>123.75</v>
      </c>
      <c r="E7" s="7" t="s">
        <v>185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</row>
    <row r="8" s="14" customFormat="1" ht="15" customHeight="1" spans="1:20">
      <c r="A8" s="7" t="s">
        <v>122</v>
      </c>
      <c r="B8" s="35">
        <f>年度运营成本测算明细!C8</f>
        <v>50</v>
      </c>
      <c r="C8" s="22">
        <f>年度运营成本测算明细!D8</f>
        <v>10</v>
      </c>
      <c r="D8" s="22">
        <f>年度运营成本测算明细!E8</f>
        <v>40</v>
      </c>
      <c r="E8" s="7" t="s">
        <v>186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</row>
    <row r="9" s="14" customFormat="1" ht="15" customHeight="1" spans="1:20">
      <c r="A9" s="23" t="s">
        <v>158</v>
      </c>
      <c r="B9" s="22">
        <f>年度运营成本测算明细!C9</f>
        <v>600</v>
      </c>
      <c r="C9" s="22">
        <f>年度运营成本测算明细!D9</f>
        <v>133.75</v>
      </c>
      <c r="D9" s="22">
        <f>年度运营成本测算明细!E9</f>
        <v>466.25</v>
      </c>
      <c r="E9" s="7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s="14" customFormat="1" ht="15" customHeight="1" spans="1:20">
      <c r="A10" s="25" t="s">
        <v>159</v>
      </c>
      <c r="B10" s="25">
        <f>年度运营成本测算明细!C10</f>
        <v>0</v>
      </c>
      <c r="C10" s="22">
        <f>年度运营成本测算明细!D10</f>
        <v>0</v>
      </c>
      <c r="D10" s="22">
        <f>年度运营成本测算明细!E10</f>
        <v>0</v>
      </c>
      <c r="E10" s="7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</row>
    <row r="11" s="14" customFormat="1" ht="15" customHeight="1" spans="1:20">
      <c r="A11" s="7" t="s">
        <v>124</v>
      </c>
      <c r="B11" s="35">
        <f>年度运营成本测算明细!C11</f>
        <v>28.3018867924528</v>
      </c>
      <c r="C11" s="22">
        <f>年度运营成本测算明细!D11</f>
        <v>7.07547169811321</v>
      </c>
      <c r="D11" s="22">
        <f>年度运营成本测算明细!E11</f>
        <v>21.2264150943396</v>
      </c>
      <c r="E11" s="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 s="14" customFormat="1" ht="15" customHeight="1" spans="1:20">
      <c r="A12" s="7" t="s">
        <v>125</v>
      </c>
      <c r="B12" s="35">
        <f>年度运营成本测算明细!C12</f>
        <v>28</v>
      </c>
      <c r="C12" s="22">
        <f>年度运营成本测算明细!D12</f>
        <v>6.60377358490566</v>
      </c>
      <c r="D12" s="22">
        <f>年度运营成本测算明细!E12</f>
        <v>19.811320754717</v>
      </c>
      <c r="E12" s="7" t="s">
        <v>187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 s="14" customFormat="1" ht="15" customHeight="1" spans="1:20">
      <c r="A13" s="7"/>
      <c r="B13" s="35">
        <f>年度运营成本测算明细!C13</f>
        <v>0</v>
      </c>
      <c r="C13" s="22">
        <f>年度运营成本测算明细!D13</f>
        <v>0</v>
      </c>
      <c r="D13" s="22">
        <f>年度运营成本测算明细!E13</f>
        <v>0</v>
      </c>
      <c r="E13" s="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</row>
    <row r="14" s="14" customFormat="1" ht="15" customHeight="1" spans="1:20">
      <c r="A14" s="7"/>
      <c r="B14" s="35">
        <f>年度运营成本测算明细!C14</f>
        <v>0</v>
      </c>
      <c r="C14" s="22">
        <f>年度运营成本测算明细!D14</f>
        <v>0</v>
      </c>
      <c r="D14" s="22">
        <f>年度运营成本测算明细!E14</f>
        <v>0</v>
      </c>
      <c r="E14" s="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</row>
    <row r="15" s="14" customFormat="1" ht="15" customHeight="1" spans="1:20">
      <c r="A15" s="23" t="s">
        <v>162</v>
      </c>
      <c r="B15" s="35">
        <f>年度运营成本测算明细!C15</f>
        <v>54.7169811320755</v>
      </c>
      <c r="C15" s="22">
        <f>年度运营成本测算明细!D15</f>
        <v>13.6792452830189</v>
      </c>
      <c r="D15" s="22">
        <f>年度运营成本测算明细!E15</f>
        <v>41.0377358490566</v>
      </c>
      <c r="E15" s="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</row>
    <row r="16" s="14" customFormat="1" ht="15" customHeight="1" spans="1:20">
      <c r="A16" s="26" t="s">
        <v>163</v>
      </c>
      <c r="B16" s="26">
        <f>年度运营成本测算明细!C16</f>
        <v>0</v>
      </c>
      <c r="C16" s="27">
        <f>年度运营成本测算明细!D16</f>
        <v>0</v>
      </c>
      <c r="D16" s="27">
        <f>年度运营成本测算明细!E16</f>
        <v>0</v>
      </c>
      <c r="E16" s="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</row>
    <row r="17" s="14" customFormat="1" ht="15" customHeight="1" spans="1:20">
      <c r="A17" s="26" t="s">
        <v>127</v>
      </c>
      <c r="B17" s="35">
        <f>年度运营成本测算明细!C17</f>
        <v>94.3396226415094</v>
      </c>
      <c r="C17" s="27">
        <f>年度运营成本测算明细!D17</f>
        <v>94.3396226415094</v>
      </c>
      <c r="D17" s="27">
        <f>年度运营成本测算明细!E17</f>
        <v>0</v>
      </c>
      <c r="E17" s="7" t="s">
        <v>164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</row>
    <row r="18" s="14" customFormat="1" ht="15" customHeight="1" spans="1:20">
      <c r="A18" s="23" t="s">
        <v>165</v>
      </c>
      <c r="B18" s="35">
        <f>年度运营成本测算明细!C18</f>
        <v>94.3396226415094</v>
      </c>
      <c r="C18" s="22">
        <f>年度运营成本测算明细!D18</f>
        <v>94.3396226415094</v>
      </c>
      <c r="D18" s="22">
        <f>年度运营成本测算明细!E18</f>
        <v>0</v>
      </c>
      <c r="E18" s="7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</row>
    <row r="19" s="14" customFormat="1" ht="15" customHeight="1" spans="1:20">
      <c r="A19" s="7" t="s">
        <v>166</v>
      </c>
      <c r="B19" s="35">
        <f>年度运营成本测算明细!C19</f>
        <v>94.3396226415094</v>
      </c>
      <c r="C19" s="22">
        <f>年度运营成本测算明细!D19</f>
        <v>94.3396226415094</v>
      </c>
      <c r="D19" s="22">
        <f>年度运营成本测算明细!E19</f>
        <v>0</v>
      </c>
      <c r="E19" s="7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</row>
    <row r="20" s="14" customFormat="1" ht="15" customHeight="1" spans="1:20">
      <c r="A20" s="7" t="s">
        <v>129</v>
      </c>
      <c r="B20" s="35">
        <f>年度运营成本测算明细!C20</f>
        <v>56.7169811320754</v>
      </c>
      <c r="C20" s="27">
        <f>年度运营成本测算明细!D20</f>
        <v>0</v>
      </c>
      <c r="D20" s="27">
        <f>年度运营成本测算明细!E20</f>
        <v>56.7169811320754</v>
      </c>
      <c r="E20" s="7" t="s">
        <v>167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</row>
    <row r="21" s="14" customFormat="1" ht="15" customHeight="1" spans="1:20">
      <c r="A21" s="7" t="s">
        <v>130</v>
      </c>
      <c r="B21" s="35">
        <f>年度运营成本测算明细!C21</f>
        <v>0</v>
      </c>
      <c r="C21" s="27">
        <f>年度运营成本测算明细!D21</f>
        <v>0</v>
      </c>
      <c r="D21" s="27">
        <f>年度运营成本测算明细!E21</f>
        <v>0</v>
      </c>
      <c r="E21" s="7" t="s">
        <v>168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</row>
    <row r="22" s="14" customFormat="1" ht="15" customHeight="1" spans="1:20">
      <c r="A22" s="5" t="s">
        <v>169</v>
      </c>
      <c r="B22" s="35">
        <f>年度运营成本测算明细!C22</f>
        <v>56.7169811320754</v>
      </c>
      <c r="C22" s="22">
        <f>年度运营成本测算明细!D22</f>
        <v>0</v>
      </c>
      <c r="D22" s="22">
        <f>年度运营成本测算明细!E22</f>
        <v>56.7169811320754</v>
      </c>
      <c r="E22" s="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</row>
    <row r="23" s="14" customFormat="1" ht="15" customHeight="1" spans="1:20">
      <c r="A23" s="28" t="s">
        <v>170</v>
      </c>
      <c r="B23" s="35">
        <f>年度运营成本测算明细!C23</f>
        <v>0</v>
      </c>
      <c r="C23" s="22">
        <f>年度运营成本测算明细!D23</f>
        <v>0</v>
      </c>
      <c r="D23" s="22">
        <f>年度运营成本测算明细!E23</f>
        <v>0</v>
      </c>
      <c r="E23" s="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</row>
    <row r="24" s="14" customFormat="1" ht="15" customHeight="1" spans="1:20">
      <c r="A24" s="7" t="s">
        <v>132</v>
      </c>
      <c r="B24" s="35">
        <f>年度运营成本测算明细!C24</f>
        <v>0</v>
      </c>
      <c r="C24" s="22">
        <f>年度运营成本测算明细!D24</f>
        <v>0</v>
      </c>
      <c r="D24" s="22">
        <f>年度运营成本测算明细!E24</f>
        <v>0</v>
      </c>
      <c r="E24" s="7" t="s">
        <v>171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</row>
    <row r="25" s="14" customFormat="1" ht="36" customHeight="1" spans="1:20">
      <c r="A25" s="7" t="s">
        <v>133</v>
      </c>
      <c r="B25" s="35">
        <f>年度运营成本测算明细!C25</f>
        <v>9.52981651376147</v>
      </c>
      <c r="C25" s="22">
        <f>年度运营成本测算明细!D25</f>
        <v>3.77522935779817</v>
      </c>
      <c r="D25" s="22">
        <f>年度运营成本测算明细!E25</f>
        <v>5.7545871559633</v>
      </c>
      <c r="E25" s="29" t="s">
        <v>172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</row>
    <row r="26" s="14" customFormat="1" ht="15" customHeight="1" spans="1:20">
      <c r="A26" s="7" t="s">
        <v>134</v>
      </c>
      <c r="B26" s="35">
        <f>年度运营成本测算明细!C26</f>
        <v>4.12735849056604</v>
      </c>
      <c r="C26" s="22">
        <f>年度运营成本测算明细!D26</f>
        <v>1.7688679245283</v>
      </c>
      <c r="D26" s="22">
        <f>年度运营成本测算明细!E26</f>
        <v>2.35849056603774</v>
      </c>
      <c r="E26" s="7" t="s">
        <v>173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</row>
    <row r="27" s="14" customFormat="1" ht="15" customHeight="1" spans="1:20">
      <c r="A27" s="7" t="s">
        <v>135</v>
      </c>
      <c r="B27" s="35">
        <f>年度运营成本测算明细!C27</f>
        <v>16.875</v>
      </c>
      <c r="C27" s="22">
        <f>年度运营成本测算明细!D27</f>
        <v>3.75</v>
      </c>
      <c r="D27" s="22">
        <f>年度运营成本测算明细!E27</f>
        <v>13.125</v>
      </c>
      <c r="E27" s="7" t="s">
        <v>174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</row>
    <row r="28" s="14" customFormat="1" ht="15" customHeight="1" spans="1:20">
      <c r="A28" s="5" t="s">
        <v>175</v>
      </c>
      <c r="B28" s="35">
        <f>年度运营成本测算明细!C28</f>
        <v>30.5321750043275</v>
      </c>
      <c r="C28" s="22">
        <f>年度运营成本测算明细!D28</f>
        <v>9.29409728232647</v>
      </c>
      <c r="D28" s="22">
        <f>年度运营成本测算明细!E28</f>
        <v>21.238077722001</v>
      </c>
      <c r="E28" s="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</row>
    <row r="29" s="14" customFormat="1" ht="15" customHeight="1" spans="1:20">
      <c r="A29" s="28" t="s">
        <v>176</v>
      </c>
      <c r="B29" s="35">
        <f>年度运营成本测算明细!C29</f>
        <v>0.47569621559633</v>
      </c>
      <c r="C29" s="22">
        <f>年度运营成本测算明细!D29</f>
        <v>0.00858035312445906</v>
      </c>
      <c r="D29" s="22">
        <f>年度运营成本测算明细!E29</f>
        <v>0.467115862471871</v>
      </c>
      <c r="E29" s="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</row>
    <row r="30" s="14" customFormat="1" ht="15" customHeight="1" spans="1:20">
      <c r="A30" s="7" t="s">
        <v>177</v>
      </c>
      <c r="B30" s="22">
        <f>年度运营成本测算明细!C30</f>
        <v>836.781456125584</v>
      </c>
      <c r="C30" s="22">
        <f>年度运营成本测算明细!D30</f>
        <v>251.071545559979</v>
      </c>
      <c r="D30" s="22">
        <f>年度运营成本测算明细!E30</f>
        <v>585.709910565605</v>
      </c>
      <c r="E30" s="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</row>
    <row r="31" s="14" customFormat="1" ht="15" customHeight="1" spans="1:20">
      <c r="A31" s="30"/>
      <c r="B31" s="30"/>
      <c r="C31" s="31"/>
      <c r="D31" s="31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</row>
    <row r="32" s="14" customFormat="1" spans="1:20">
      <c r="A32" s="30" t="s">
        <v>178</v>
      </c>
      <c r="B32" s="31">
        <f>SUM(B9,B15,B18,B28)/(项目预算表!C21-项目预算表!C21*项目预算表!C22-项目预算表!C21*项目预算表!C23)</f>
        <v>5996.8367598301</v>
      </c>
      <c r="C32" s="31">
        <f>SUM(C9,C15,C18,C28)/(项目预算表!D21-项目预算表!D21*项目预算表!D22-项目预算表!D21*项目预算表!D23)</f>
        <v>1793.30689433468</v>
      </c>
      <c r="D32" s="31">
        <f>SUM(D9,D15,D18,D28)/(项目预算表!E21-项目预算表!E21*项目预算表!E22-项目预算表!E21*项目预算表!E23)</f>
        <v>3775.18438265041</v>
      </c>
    </row>
    <row r="33" s="14" customFormat="1" spans="1:5">
      <c r="A33" s="30" t="s">
        <v>179</v>
      </c>
      <c r="B33" s="31">
        <f>C33+D33</f>
        <v>1113.69825539702</v>
      </c>
      <c r="C33" s="31">
        <f>C32*0.2</f>
        <v>358.661378866935</v>
      </c>
      <c r="D33" s="31">
        <f>D32*0.2</f>
        <v>755.036876530082</v>
      </c>
      <c r="E33" s="18"/>
    </row>
    <row r="34" s="14" customFormat="1" spans="1:5">
      <c r="A34" s="30" t="s">
        <v>180</v>
      </c>
      <c r="B34" s="36">
        <v>200</v>
      </c>
      <c r="C34" s="31">
        <v>6000</v>
      </c>
      <c r="D34" s="31">
        <v>20000</v>
      </c>
      <c r="E34" s="18"/>
    </row>
    <row r="35" s="14" customFormat="1" spans="1:5">
      <c r="A35" s="30" t="s">
        <v>54</v>
      </c>
      <c r="B35" s="31">
        <f>B33-B30</f>
        <v>276.916799271436</v>
      </c>
      <c r="C35" s="31">
        <f>C33-C30</f>
        <v>107.589833306956</v>
      </c>
      <c r="D35" s="31">
        <f>D33-D30</f>
        <v>169.326965964477</v>
      </c>
      <c r="E35" s="18"/>
    </row>
    <row r="36" s="14" customFormat="1" spans="1:5">
      <c r="A36" s="18" t="s">
        <v>181</v>
      </c>
      <c r="B36" s="31">
        <f>B32/(项目预算表!C20*365/1000)</f>
        <v>821.484487647958</v>
      </c>
      <c r="C36" s="31">
        <f>C32/(项目预算表!D20*365/1000)</f>
        <v>245.658478675983</v>
      </c>
      <c r="D36" s="31">
        <f>D32/(项目预算表!E20*365/1000)</f>
        <v>517.148545568549</v>
      </c>
      <c r="E36" s="18"/>
    </row>
    <row r="37" s="14" customFormat="1" spans="1:5">
      <c r="A37" s="18"/>
      <c r="B37" s="18"/>
      <c r="C37" s="18"/>
      <c r="D37" s="18"/>
      <c r="E37" s="18"/>
    </row>
    <row r="38" s="14" customFormat="1" spans="1:5">
      <c r="A38" s="18" t="s">
        <v>182</v>
      </c>
      <c r="B38" s="31">
        <v>1000</v>
      </c>
      <c r="C38" s="31"/>
      <c r="D38" s="31"/>
      <c r="E38" s="18"/>
    </row>
    <row r="39" s="14" customFormat="1" spans="1:5">
      <c r="A39" s="18" t="s">
        <v>181</v>
      </c>
      <c r="B39" s="31">
        <f>B38/(项目预算表!C20*365/1000)</f>
        <v>136.986301369863</v>
      </c>
      <c r="C39" s="31"/>
      <c r="D39" s="31"/>
      <c r="E39" s="18"/>
    </row>
    <row r="40" s="14" customFormat="1" spans="1:5">
      <c r="A40" s="30" t="s">
        <v>54</v>
      </c>
      <c r="B40" s="31">
        <f>B38*0.2-(B30-B22)-B38*项目预算表!D21*(项目预算表!D22+项目预算表!D23)</f>
        <v>-640.064474993509</v>
      </c>
      <c r="C40" s="18"/>
      <c r="D40" s="18"/>
      <c r="E40" s="18"/>
    </row>
    <row r="41" s="14" customFormat="1" spans="1:5">
      <c r="A41" s="18"/>
      <c r="B41" s="18"/>
      <c r="C41" s="18"/>
      <c r="D41" s="18"/>
      <c r="E41" s="18"/>
    </row>
    <row r="42" s="14" customFormat="1" spans="1:5">
      <c r="A42" s="18"/>
      <c r="B42" s="18"/>
      <c r="C42" s="18"/>
      <c r="D42" s="18"/>
      <c r="E42" s="18"/>
    </row>
    <row r="43" s="14" customFormat="1" spans="1:5">
      <c r="A43" s="18"/>
      <c r="B43" s="18"/>
      <c r="C43" s="18"/>
      <c r="D43" s="18"/>
      <c r="E43" s="18"/>
    </row>
    <row r="44" s="14" customFormat="1" spans="1:5">
      <c r="A44" s="18"/>
      <c r="B44" s="18"/>
      <c r="C44" s="18"/>
      <c r="D44" s="18"/>
      <c r="E44" s="18"/>
    </row>
    <row r="45" s="14" customFormat="1" spans="1:5">
      <c r="A45" s="18"/>
      <c r="B45" s="18"/>
      <c r="C45" s="18"/>
      <c r="D45" s="18"/>
      <c r="E45" s="18"/>
    </row>
    <row r="46" s="14" customFormat="1" spans="1:5">
      <c r="A46" s="18"/>
      <c r="B46" s="18"/>
      <c r="C46" s="18"/>
      <c r="D46" s="18"/>
      <c r="E46" s="18"/>
    </row>
    <row r="47" s="14" customFormat="1" spans="1:5">
      <c r="A47" s="18"/>
      <c r="B47" s="18"/>
      <c r="C47" s="18"/>
      <c r="D47" s="18"/>
      <c r="E47" s="18"/>
    </row>
    <row r="48" s="14" customFormat="1" spans="1:5">
      <c r="A48" s="18"/>
      <c r="B48" s="18"/>
      <c r="C48" s="18"/>
      <c r="D48" s="18"/>
      <c r="E48" s="18"/>
    </row>
    <row r="49" s="14" customFormat="1" spans="1:5">
      <c r="A49" s="18"/>
      <c r="B49" s="18"/>
      <c r="C49" s="18"/>
      <c r="D49" s="18"/>
      <c r="E49" s="18"/>
    </row>
    <row r="50" s="14" customFormat="1" spans="1:5">
      <c r="A50" s="18"/>
      <c r="B50" s="18"/>
      <c r="C50" s="18"/>
      <c r="D50" s="18"/>
      <c r="E50" s="18"/>
    </row>
    <row r="51" s="14" customFormat="1" spans="1:5">
      <c r="A51" s="18"/>
      <c r="B51" s="18"/>
      <c r="C51" s="18"/>
      <c r="D51" s="18"/>
      <c r="E51" s="18"/>
    </row>
    <row r="52" s="14" customFormat="1" spans="1:5">
      <c r="A52" s="18"/>
      <c r="B52" s="18"/>
      <c r="C52" s="18"/>
      <c r="D52" s="18"/>
      <c r="E52" s="18"/>
    </row>
    <row r="53" s="14" customFormat="1" spans="1:5">
      <c r="A53" s="18"/>
      <c r="B53" s="18"/>
      <c r="C53" s="18"/>
      <c r="D53" s="18"/>
      <c r="E53" s="18"/>
    </row>
    <row r="54" s="14" customFormat="1" spans="1:5">
      <c r="A54" s="18"/>
      <c r="B54" s="18"/>
      <c r="C54" s="18"/>
      <c r="D54" s="18"/>
      <c r="E54" s="18"/>
    </row>
    <row r="55" s="14" customFormat="1" spans="1:5">
      <c r="A55" s="18"/>
      <c r="B55" s="18"/>
      <c r="C55" s="18"/>
      <c r="D55" s="18"/>
      <c r="E55" s="18"/>
    </row>
    <row r="56" s="14" customFormat="1" spans="1:5">
      <c r="A56" s="18"/>
      <c r="B56" s="18"/>
      <c r="C56" s="18"/>
      <c r="D56" s="18"/>
      <c r="E56" s="18"/>
    </row>
    <row r="57" s="14" customFormat="1" spans="1:5">
      <c r="A57" s="18"/>
      <c r="B57" s="18"/>
      <c r="C57" s="18"/>
      <c r="D57" s="18"/>
      <c r="E57" s="18"/>
    </row>
    <row r="58" s="14" customFormat="1" spans="1:5">
      <c r="A58" s="18"/>
      <c r="B58" s="18"/>
      <c r="C58" s="18"/>
      <c r="D58" s="18"/>
      <c r="E58" s="18"/>
    </row>
    <row r="59" s="14" customFormat="1" spans="1:5">
      <c r="A59" s="18"/>
      <c r="B59" s="18"/>
      <c r="C59" s="18"/>
      <c r="D59" s="18"/>
      <c r="E59" s="18"/>
    </row>
    <row r="60" s="14" customFormat="1" spans="1:5">
      <c r="A60" s="18"/>
      <c r="B60" s="18"/>
      <c r="C60" s="18"/>
      <c r="D60" s="18"/>
      <c r="E60" s="18"/>
    </row>
    <row r="61" s="14" customFormat="1" spans="1:5">
      <c r="A61" s="18"/>
      <c r="B61" s="18"/>
      <c r="C61" s="18"/>
      <c r="D61" s="18"/>
      <c r="E61" s="18"/>
    </row>
    <row r="62" s="14" customFormat="1" spans="1:5">
      <c r="A62" s="18"/>
      <c r="B62" s="18"/>
      <c r="C62" s="18"/>
      <c r="D62" s="18"/>
      <c r="E62" s="18"/>
    </row>
    <row r="63" s="14" customFormat="1" spans="1:5">
      <c r="A63" s="18"/>
      <c r="B63" s="18"/>
      <c r="C63" s="18"/>
      <c r="D63" s="18"/>
      <c r="E63" s="18"/>
    </row>
    <row r="64" s="14" customFormat="1" spans="1:5">
      <c r="A64" s="18"/>
      <c r="B64" s="18"/>
      <c r="C64" s="18"/>
      <c r="D64" s="18"/>
      <c r="E64" s="18"/>
    </row>
    <row r="65" s="14" customFormat="1" spans="1:5">
      <c r="A65" s="18"/>
      <c r="B65" s="18"/>
      <c r="C65" s="18"/>
      <c r="D65" s="18"/>
      <c r="E65" s="18"/>
    </row>
    <row r="66" s="14" customFormat="1" spans="1:5">
      <c r="A66" s="18"/>
      <c r="B66" s="18"/>
      <c r="C66" s="18"/>
      <c r="D66" s="18"/>
      <c r="E66" s="18"/>
    </row>
    <row r="67" s="14" customFormat="1" spans="1:5">
      <c r="A67" s="18"/>
      <c r="B67" s="18"/>
      <c r="C67" s="18"/>
      <c r="D67" s="18"/>
      <c r="E67" s="18"/>
    </row>
    <row r="68" s="14" customFormat="1" spans="1:5">
      <c r="A68" s="18"/>
      <c r="B68" s="18"/>
      <c r="C68" s="18"/>
      <c r="D68" s="18"/>
      <c r="E68" s="18"/>
    </row>
    <row r="69" s="14" customFormat="1" spans="1:5">
      <c r="A69" s="18"/>
      <c r="B69" s="18"/>
      <c r="C69" s="18"/>
      <c r="D69" s="18"/>
      <c r="E69" s="18"/>
    </row>
    <row r="70" s="14" customFormat="1" spans="1:5">
      <c r="A70" s="18"/>
      <c r="B70" s="18"/>
      <c r="C70" s="18"/>
      <c r="D70" s="18"/>
      <c r="E70" s="18"/>
    </row>
    <row r="71" s="14" customFormat="1" spans="1:5">
      <c r="A71" s="18"/>
      <c r="B71" s="18"/>
      <c r="C71" s="18"/>
      <c r="D71" s="18"/>
      <c r="E71" s="18"/>
    </row>
    <row r="72" s="14" customFormat="1" spans="1:5">
      <c r="A72" s="18"/>
      <c r="B72" s="18"/>
      <c r="C72" s="18"/>
      <c r="D72" s="18"/>
      <c r="E72" s="18"/>
    </row>
    <row r="73" s="14" customFormat="1" spans="1:5">
      <c r="A73" s="18"/>
      <c r="B73" s="18"/>
      <c r="C73" s="18"/>
      <c r="D73" s="18"/>
      <c r="E73" s="18"/>
    </row>
    <row r="74" s="14" customFormat="1" spans="1:5">
      <c r="A74" s="18"/>
      <c r="B74" s="18"/>
      <c r="C74" s="18"/>
      <c r="D74" s="18"/>
      <c r="E74" s="18"/>
    </row>
    <row r="75" s="14" customFormat="1" spans="1:5">
      <c r="A75" s="18"/>
      <c r="B75" s="18"/>
      <c r="C75" s="18"/>
      <c r="D75" s="18"/>
      <c r="E75" s="18"/>
    </row>
    <row r="76" s="14" customFormat="1" spans="1:5">
      <c r="A76" s="18"/>
      <c r="B76" s="18"/>
      <c r="C76" s="18"/>
      <c r="D76" s="18"/>
      <c r="E76" s="18"/>
    </row>
    <row r="77" s="14" customFormat="1" spans="1:5">
      <c r="A77" s="18"/>
      <c r="B77" s="18"/>
      <c r="C77" s="18"/>
      <c r="D77" s="18"/>
      <c r="E77" s="18"/>
    </row>
    <row r="78" s="14" customFormat="1" spans="1:5">
      <c r="A78" s="18"/>
      <c r="B78" s="18"/>
      <c r="C78" s="18"/>
      <c r="D78" s="18"/>
      <c r="E78" s="18"/>
    </row>
    <row r="79" s="14" customFormat="1" spans="1:5">
      <c r="A79" s="18"/>
      <c r="B79" s="18"/>
      <c r="C79" s="18"/>
      <c r="D79" s="18"/>
      <c r="E79" s="18"/>
    </row>
    <row r="80" s="14" customFormat="1" spans="1:5">
      <c r="A80" s="18"/>
      <c r="B80" s="18"/>
      <c r="C80" s="18"/>
      <c r="D80" s="18"/>
      <c r="E80" s="18"/>
    </row>
    <row r="81" s="14" customFormat="1" spans="1:5">
      <c r="A81" s="18"/>
      <c r="B81" s="18"/>
      <c r="C81" s="18"/>
      <c r="D81" s="18"/>
      <c r="E81" s="18"/>
    </row>
    <row r="82" s="14" customFormat="1" spans="1:5">
      <c r="A82" s="18"/>
      <c r="B82" s="18"/>
      <c r="C82" s="18"/>
      <c r="D82" s="18"/>
      <c r="E82" s="18"/>
    </row>
    <row r="83" s="14" customFormat="1" spans="1:5">
      <c r="A83" s="18"/>
      <c r="B83" s="18"/>
      <c r="C83" s="18"/>
      <c r="D83" s="18"/>
      <c r="E83" s="18"/>
    </row>
    <row r="84" s="14" customFormat="1" spans="1:5">
      <c r="A84" s="18"/>
      <c r="B84" s="18"/>
      <c r="C84" s="18"/>
      <c r="D84" s="18"/>
      <c r="E84" s="18"/>
    </row>
    <row r="85" s="14" customFormat="1" spans="1:5">
      <c r="A85" s="18"/>
      <c r="B85" s="18"/>
      <c r="C85" s="18"/>
      <c r="D85" s="18"/>
      <c r="E85" s="18"/>
    </row>
    <row r="86" s="14" customFormat="1" spans="1:5">
      <c r="A86" s="18"/>
      <c r="B86" s="18"/>
      <c r="C86" s="18"/>
      <c r="D86" s="18"/>
      <c r="E86" s="18"/>
    </row>
    <row r="87" s="14" customFormat="1" spans="1:5">
      <c r="A87" s="18"/>
      <c r="B87" s="18"/>
      <c r="C87" s="18"/>
      <c r="D87" s="18"/>
      <c r="E87" s="18"/>
    </row>
    <row r="88" s="14" customFormat="1" spans="1:5">
      <c r="A88" s="18"/>
      <c r="B88" s="18"/>
      <c r="C88" s="18"/>
      <c r="D88" s="18"/>
      <c r="E88" s="18"/>
    </row>
    <row r="89" s="14" customFormat="1" spans="1:5">
      <c r="A89" s="18"/>
      <c r="B89" s="18"/>
      <c r="C89" s="18"/>
      <c r="D89" s="18"/>
      <c r="E89" s="18"/>
    </row>
    <row r="90" s="14" customFormat="1" spans="1:5">
      <c r="A90" s="18"/>
      <c r="B90" s="18"/>
      <c r="C90" s="18"/>
      <c r="D90" s="18"/>
      <c r="E90" s="18"/>
    </row>
    <row r="91" s="14" customFormat="1" spans="1:5">
      <c r="A91" s="18"/>
      <c r="B91" s="18"/>
      <c r="C91" s="18"/>
      <c r="D91" s="18"/>
      <c r="E91" s="18"/>
    </row>
    <row r="92" s="14" customFormat="1" spans="1:5">
      <c r="A92" s="18"/>
      <c r="B92" s="18"/>
      <c r="C92" s="18"/>
      <c r="D92" s="18"/>
      <c r="E92" s="18"/>
    </row>
    <row r="93" s="14" customFormat="1" spans="1:5">
      <c r="A93" s="18"/>
      <c r="B93" s="18"/>
      <c r="C93" s="18"/>
      <c r="D93" s="18"/>
      <c r="E93" s="18"/>
    </row>
    <row r="94" s="14" customFormat="1" spans="1:5">
      <c r="A94" s="18"/>
      <c r="B94" s="18"/>
      <c r="C94" s="18"/>
      <c r="D94" s="18"/>
      <c r="E94" s="18"/>
    </row>
    <row r="95" s="14" customFormat="1" spans="1:5">
      <c r="A95" s="18"/>
      <c r="B95" s="18"/>
      <c r="C95" s="18"/>
      <c r="D95" s="18"/>
      <c r="E95" s="18"/>
    </row>
    <row r="96" s="14" customFormat="1" spans="1:5">
      <c r="A96" s="18"/>
      <c r="B96" s="18"/>
      <c r="C96" s="18"/>
      <c r="D96" s="18"/>
      <c r="E96" s="18"/>
    </row>
    <row r="97" s="14" customFormat="1" spans="1:5">
      <c r="A97" s="18"/>
      <c r="B97" s="18"/>
      <c r="C97" s="18"/>
      <c r="D97" s="18"/>
      <c r="E97" s="18"/>
    </row>
    <row r="98" s="14" customFormat="1" spans="1:5">
      <c r="A98" s="18"/>
      <c r="B98" s="18"/>
      <c r="C98" s="18"/>
      <c r="D98" s="18"/>
      <c r="E98" s="18"/>
    </row>
    <row r="99" s="14" customFormat="1" spans="1:5">
      <c r="A99" s="18"/>
      <c r="B99" s="18"/>
      <c r="C99" s="18"/>
      <c r="D99" s="18"/>
      <c r="E99" s="18"/>
    </row>
    <row r="100" s="14" customFormat="1" spans="1:5">
      <c r="A100" s="18"/>
      <c r="B100" s="18"/>
      <c r="C100" s="18"/>
      <c r="D100" s="18"/>
      <c r="E100" s="18"/>
    </row>
    <row r="101" s="14" customFormat="1" spans="1:5">
      <c r="A101" s="18"/>
      <c r="B101" s="18"/>
      <c r="C101" s="18"/>
      <c r="D101" s="18"/>
      <c r="E101" s="18"/>
    </row>
    <row r="102" s="14" customFormat="1" spans="1:5">
      <c r="A102" s="18"/>
      <c r="B102" s="18"/>
      <c r="C102" s="18"/>
      <c r="D102" s="18"/>
      <c r="E102" s="18"/>
    </row>
    <row r="103" s="14" customFormat="1" spans="1:5">
      <c r="A103" s="18"/>
      <c r="B103" s="18"/>
      <c r="C103" s="18"/>
      <c r="D103" s="18"/>
      <c r="E103" s="18"/>
    </row>
    <row r="104" s="14" customFormat="1" spans="1:5">
      <c r="A104" s="18"/>
      <c r="B104" s="18"/>
      <c r="C104" s="18"/>
      <c r="D104" s="18"/>
      <c r="E104" s="18"/>
    </row>
    <row r="105" s="14" customFormat="1" spans="1:5">
      <c r="A105" s="18"/>
      <c r="B105" s="18"/>
      <c r="C105" s="18"/>
      <c r="D105" s="18"/>
      <c r="E105" s="18"/>
    </row>
    <row r="106" s="14" customFormat="1" spans="1:5">
      <c r="A106" s="18"/>
      <c r="B106" s="18"/>
      <c r="C106" s="18"/>
      <c r="D106" s="18"/>
      <c r="E106" s="18"/>
    </row>
    <row r="107" s="14" customFormat="1" spans="1:5">
      <c r="A107" s="18"/>
      <c r="B107" s="18"/>
      <c r="C107" s="18"/>
      <c r="D107" s="18"/>
      <c r="E107" s="18"/>
    </row>
    <row r="108" s="14" customFormat="1" spans="1:5">
      <c r="A108" s="18"/>
      <c r="B108" s="18"/>
      <c r="C108" s="18"/>
      <c r="D108" s="18"/>
      <c r="E108" s="18"/>
    </row>
    <row r="109" s="14" customFormat="1" spans="1:5">
      <c r="A109" s="18"/>
      <c r="B109" s="18"/>
      <c r="C109" s="18"/>
      <c r="D109" s="18"/>
      <c r="E109" s="18"/>
    </row>
    <row r="110" s="14" customFormat="1" spans="1:5">
      <c r="A110" s="18"/>
      <c r="B110" s="18"/>
      <c r="C110" s="18"/>
      <c r="D110" s="18"/>
      <c r="E110" s="18"/>
    </row>
    <row r="111" s="14" customFormat="1" spans="1:5">
      <c r="A111" s="18"/>
      <c r="B111" s="18"/>
      <c r="C111" s="18"/>
      <c r="D111" s="18"/>
      <c r="E111" s="18"/>
    </row>
    <row r="112" s="14" customFormat="1" spans="1:5">
      <c r="A112" s="18"/>
      <c r="B112" s="18"/>
      <c r="C112" s="18"/>
      <c r="D112" s="18"/>
      <c r="E112" s="18"/>
    </row>
    <row r="113" s="14" customFormat="1" spans="1:5">
      <c r="A113" s="18"/>
      <c r="B113" s="18"/>
      <c r="C113" s="18"/>
      <c r="D113" s="18"/>
      <c r="E113" s="18"/>
    </row>
    <row r="114" s="14" customFormat="1" spans="1:5">
      <c r="A114" s="18"/>
      <c r="B114" s="18"/>
      <c r="C114" s="18"/>
      <c r="D114" s="18"/>
      <c r="E114" s="18"/>
    </row>
    <row r="115" s="14" customFormat="1" spans="1:5">
      <c r="A115" s="18"/>
      <c r="B115" s="18"/>
      <c r="C115" s="18"/>
      <c r="D115" s="18"/>
      <c r="E115" s="18"/>
    </row>
    <row r="116" s="14" customFormat="1" spans="1:5">
      <c r="A116" s="18"/>
      <c r="B116" s="18"/>
      <c r="C116" s="18"/>
      <c r="D116" s="18"/>
      <c r="E116" s="18"/>
    </row>
    <row r="117" s="14" customFormat="1" spans="1:5">
      <c r="A117" s="18"/>
      <c r="B117" s="18"/>
      <c r="C117" s="18"/>
      <c r="D117" s="18"/>
      <c r="E117" s="18"/>
    </row>
    <row r="118" s="14" customFormat="1" spans="1:5">
      <c r="A118" s="18"/>
      <c r="B118" s="18"/>
      <c r="C118" s="18"/>
      <c r="D118" s="18"/>
      <c r="E118" s="18"/>
    </row>
    <row r="119" s="14" customFormat="1" spans="1:5">
      <c r="A119" s="18"/>
      <c r="B119" s="18"/>
      <c r="C119" s="18"/>
      <c r="D119" s="18"/>
      <c r="E119" s="18"/>
    </row>
    <row r="120" s="14" customFormat="1" spans="1:5">
      <c r="A120" s="18"/>
      <c r="B120" s="18"/>
      <c r="C120" s="18"/>
      <c r="D120" s="18"/>
      <c r="E120" s="18"/>
    </row>
    <row r="121" s="14" customFormat="1" spans="1:5">
      <c r="A121" s="18"/>
      <c r="B121" s="18"/>
      <c r="C121" s="18"/>
      <c r="D121" s="18"/>
      <c r="E121" s="18"/>
    </row>
    <row r="122" s="14" customFormat="1" spans="1:5">
      <c r="A122" s="18"/>
      <c r="B122" s="18"/>
      <c r="C122" s="18"/>
      <c r="D122" s="18"/>
      <c r="E122" s="18"/>
    </row>
    <row r="123" s="14" customFormat="1" spans="1:5">
      <c r="A123" s="18"/>
      <c r="B123" s="18"/>
      <c r="C123" s="18"/>
      <c r="D123" s="18"/>
      <c r="E123" s="18"/>
    </row>
    <row r="124" s="14" customFormat="1" spans="1:5">
      <c r="A124" s="18"/>
      <c r="B124" s="18"/>
      <c r="C124" s="18"/>
      <c r="D124" s="18"/>
      <c r="E124" s="18"/>
    </row>
    <row r="125" s="14" customFormat="1" spans="1:5">
      <c r="A125" s="18"/>
      <c r="B125" s="18"/>
      <c r="C125" s="18"/>
      <c r="D125" s="18"/>
      <c r="E125" s="18"/>
    </row>
    <row r="126" s="14" customFormat="1" spans="1:5">
      <c r="A126" s="18"/>
      <c r="B126" s="18"/>
      <c r="C126" s="18"/>
      <c r="D126" s="18"/>
      <c r="E126" s="18"/>
    </row>
    <row r="127" s="14" customFormat="1" spans="1:5">
      <c r="A127" s="18"/>
      <c r="B127" s="18"/>
      <c r="C127" s="18"/>
      <c r="D127" s="18"/>
      <c r="E127" s="18"/>
    </row>
    <row r="128" s="14" customFormat="1" spans="1:5">
      <c r="A128" s="18"/>
      <c r="B128" s="18"/>
      <c r="C128" s="18"/>
      <c r="D128" s="18"/>
      <c r="E128" s="18"/>
    </row>
    <row r="129" s="14" customFormat="1" spans="1:5">
      <c r="A129" s="18"/>
      <c r="B129" s="18"/>
      <c r="C129" s="18"/>
      <c r="D129" s="18"/>
      <c r="E129" s="18"/>
    </row>
    <row r="130" s="14" customFormat="1" spans="1:5">
      <c r="A130" s="18"/>
      <c r="B130" s="18"/>
      <c r="C130" s="18"/>
      <c r="D130" s="18"/>
      <c r="E130" s="18"/>
    </row>
    <row r="131" s="14" customFormat="1" spans="1:5">
      <c r="A131" s="18"/>
      <c r="B131" s="18"/>
      <c r="C131" s="18"/>
      <c r="D131" s="18"/>
      <c r="E131" s="18"/>
    </row>
    <row r="132" s="14" customFormat="1" spans="1:5">
      <c r="A132" s="18"/>
      <c r="B132" s="18"/>
      <c r="C132" s="18"/>
      <c r="D132" s="18"/>
      <c r="E132" s="18"/>
    </row>
    <row r="133" s="14" customFormat="1" spans="1:5">
      <c r="A133" s="18"/>
      <c r="B133" s="18"/>
      <c r="C133" s="18"/>
      <c r="D133" s="18"/>
      <c r="E133" s="18"/>
    </row>
    <row r="134" s="14" customFormat="1" spans="1:5">
      <c r="A134" s="18"/>
      <c r="B134" s="18"/>
      <c r="C134" s="18"/>
      <c r="D134" s="18"/>
      <c r="E134" s="18"/>
    </row>
    <row r="135" s="14" customFormat="1" spans="1:5">
      <c r="A135" s="18"/>
      <c r="B135" s="18"/>
      <c r="C135" s="18"/>
      <c r="D135" s="18"/>
      <c r="E135" s="18"/>
    </row>
    <row r="136" s="14" customFormat="1" spans="1:5">
      <c r="A136" s="18"/>
      <c r="B136" s="18"/>
      <c r="C136" s="18"/>
      <c r="D136" s="18"/>
      <c r="E136" s="18"/>
    </row>
    <row r="137" s="14" customFormat="1" spans="1:5">
      <c r="A137" s="18"/>
      <c r="B137" s="18"/>
      <c r="C137" s="18"/>
      <c r="D137" s="18"/>
      <c r="E137" s="18"/>
    </row>
    <row r="138" s="14" customFormat="1" spans="1:5">
      <c r="A138" s="18"/>
      <c r="B138" s="18"/>
      <c r="C138" s="18"/>
      <c r="D138" s="18"/>
      <c r="E138" s="18"/>
    </row>
    <row r="139" s="14" customFormat="1" spans="1:5">
      <c r="A139" s="18"/>
      <c r="B139" s="18"/>
      <c r="C139" s="18"/>
      <c r="D139" s="18"/>
      <c r="E139" s="18"/>
    </row>
    <row r="140" s="14" customFormat="1" spans="1:5">
      <c r="A140" s="18"/>
      <c r="B140" s="18"/>
      <c r="C140" s="18"/>
      <c r="D140" s="18"/>
      <c r="E140" s="18"/>
    </row>
    <row r="141" s="14" customFormat="1" spans="1:5">
      <c r="A141" s="18"/>
      <c r="B141" s="18"/>
      <c r="C141" s="18"/>
      <c r="D141" s="18"/>
      <c r="E141" s="18"/>
    </row>
    <row r="142" s="14" customFormat="1" spans="1:5">
      <c r="A142" s="18"/>
      <c r="B142" s="18"/>
      <c r="C142" s="18"/>
      <c r="D142" s="18"/>
      <c r="E142" s="18"/>
    </row>
    <row r="143" s="14" customFormat="1" spans="1:5">
      <c r="A143" s="18"/>
      <c r="B143" s="18"/>
      <c r="C143" s="18"/>
      <c r="D143" s="18"/>
      <c r="E143" s="18"/>
    </row>
    <row r="144" s="14" customFormat="1" spans="1:5">
      <c r="A144" s="18"/>
      <c r="B144" s="18"/>
      <c r="C144" s="18"/>
      <c r="D144" s="18"/>
      <c r="E144" s="18"/>
    </row>
    <row r="145" s="14" customFormat="1" spans="1:5">
      <c r="A145" s="18"/>
      <c r="B145" s="18"/>
      <c r="C145" s="18"/>
      <c r="D145" s="18"/>
      <c r="E145" s="18"/>
    </row>
    <row r="146" s="14" customFormat="1" spans="1:5">
      <c r="A146" s="18"/>
      <c r="B146" s="18"/>
      <c r="C146" s="18"/>
      <c r="D146" s="18"/>
      <c r="E146" s="18"/>
    </row>
    <row r="147" s="14" customFormat="1" spans="1:5">
      <c r="A147" s="18"/>
      <c r="B147" s="18"/>
      <c r="C147" s="18"/>
      <c r="D147" s="18"/>
      <c r="E147" s="18"/>
    </row>
    <row r="148" s="14" customFormat="1" spans="1:5">
      <c r="A148" s="18"/>
      <c r="B148" s="18"/>
      <c r="C148" s="18"/>
      <c r="D148" s="18"/>
      <c r="E148" s="18"/>
    </row>
    <row r="149" s="14" customFormat="1" spans="1:5">
      <c r="A149" s="18"/>
      <c r="B149" s="18"/>
      <c r="C149" s="18"/>
      <c r="D149" s="18"/>
      <c r="E149" s="18"/>
    </row>
    <row r="150" s="14" customFormat="1" spans="1:5">
      <c r="A150" s="18"/>
      <c r="B150" s="18"/>
      <c r="C150" s="18"/>
      <c r="D150" s="18"/>
      <c r="E150" s="18"/>
    </row>
    <row r="151" s="14" customFormat="1" spans="1:5">
      <c r="A151" s="18"/>
      <c r="B151" s="18"/>
      <c r="C151" s="18"/>
      <c r="D151" s="18"/>
      <c r="E151" s="18"/>
    </row>
    <row r="152" s="14" customFormat="1" spans="1:5">
      <c r="A152" s="18"/>
      <c r="B152" s="18"/>
      <c r="C152" s="18"/>
      <c r="D152" s="18"/>
      <c r="E152" s="18"/>
    </row>
    <row r="153" s="14" customFormat="1" spans="1:5">
      <c r="A153" s="18"/>
      <c r="B153" s="18"/>
      <c r="C153" s="18"/>
      <c r="D153" s="18"/>
      <c r="E153" s="18"/>
    </row>
    <row r="154" s="14" customFormat="1" spans="1:5">
      <c r="A154" s="18"/>
      <c r="B154" s="18"/>
      <c r="C154" s="18"/>
      <c r="D154" s="18"/>
      <c r="E154" s="18"/>
    </row>
    <row r="155" s="14" customFormat="1" spans="1:5">
      <c r="A155" s="18"/>
      <c r="B155" s="18"/>
      <c r="C155" s="18"/>
      <c r="D155" s="18"/>
      <c r="E155" s="18"/>
    </row>
    <row r="156" s="14" customFormat="1" spans="1:5">
      <c r="A156" s="18"/>
      <c r="B156" s="18"/>
      <c r="C156" s="18"/>
      <c r="D156" s="18"/>
      <c r="E156" s="18"/>
    </row>
    <row r="157" s="14" customFormat="1" spans="1:5">
      <c r="A157" s="18"/>
      <c r="B157" s="18"/>
      <c r="C157" s="18"/>
      <c r="D157" s="18"/>
      <c r="E157" s="18"/>
    </row>
    <row r="158" s="14" customFormat="1" spans="1:5">
      <c r="A158" s="18"/>
      <c r="B158" s="18"/>
      <c r="C158" s="18"/>
      <c r="D158" s="18"/>
      <c r="E158" s="18"/>
    </row>
    <row r="159" s="14" customFormat="1" spans="1:5">
      <c r="A159" s="18"/>
      <c r="B159" s="18"/>
      <c r="C159" s="18"/>
      <c r="D159" s="18"/>
      <c r="E159" s="18"/>
    </row>
    <row r="160" s="14" customFormat="1" spans="1:5">
      <c r="A160" s="18"/>
      <c r="B160" s="18"/>
      <c r="C160" s="18"/>
      <c r="D160" s="18"/>
      <c r="E160" s="18"/>
    </row>
    <row r="161" s="14" customFormat="1" spans="1:5">
      <c r="A161" s="18"/>
      <c r="B161" s="18"/>
      <c r="C161" s="18"/>
      <c r="D161" s="18"/>
      <c r="E161" s="18"/>
    </row>
    <row r="162" s="14" customFormat="1" spans="1:5">
      <c r="A162" s="18"/>
      <c r="B162" s="18"/>
      <c r="C162" s="18"/>
      <c r="D162" s="18"/>
      <c r="E162" s="18"/>
    </row>
    <row r="163" s="14" customFormat="1" spans="1:5">
      <c r="A163" s="18"/>
      <c r="B163" s="18"/>
      <c r="C163" s="18"/>
      <c r="D163" s="18"/>
      <c r="E163" s="18"/>
    </row>
    <row r="164" s="14" customFormat="1" spans="1:5">
      <c r="A164" s="18"/>
      <c r="B164" s="18"/>
      <c r="C164" s="18"/>
      <c r="D164" s="18"/>
      <c r="E164" s="18"/>
    </row>
    <row r="165" s="14" customFormat="1" spans="1:5">
      <c r="A165" s="18"/>
      <c r="B165" s="18"/>
      <c r="C165" s="18"/>
      <c r="D165" s="18"/>
      <c r="E165" s="18"/>
    </row>
    <row r="166" s="14" customFormat="1" spans="1:5">
      <c r="A166" s="18"/>
      <c r="B166" s="18"/>
      <c r="C166" s="18"/>
      <c r="D166" s="18"/>
      <c r="E166" s="18"/>
    </row>
    <row r="167" s="14" customFormat="1" spans="1:5">
      <c r="A167" s="18"/>
      <c r="B167" s="18"/>
      <c r="C167" s="18"/>
      <c r="D167" s="18"/>
      <c r="E167" s="18"/>
    </row>
    <row r="168" s="14" customFormat="1" spans="1:5">
      <c r="A168" s="18"/>
      <c r="B168" s="18"/>
      <c r="C168" s="18"/>
      <c r="D168" s="18"/>
      <c r="E168" s="18"/>
    </row>
    <row r="169" s="14" customFormat="1" spans="1:5">
      <c r="A169" s="18"/>
      <c r="B169" s="18"/>
      <c r="C169" s="18"/>
      <c r="D169" s="18"/>
      <c r="E169" s="18"/>
    </row>
    <row r="170" s="14" customFormat="1" spans="1:5">
      <c r="A170" s="18"/>
      <c r="B170" s="18"/>
      <c r="C170" s="18"/>
      <c r="D170" s="18"/>
      <c r="E170" s="18"/>
    </row>
    <row r="171" s="14" customFormat="1" spans="1:5">
      <c r="A171" s="18"/>
      <c r="B171" s="18"/>
      <c r="C171" s="18"/>
      <c r="D171" s="18"/>
      <c r="E171" s="18"/>
    </row>
    <row r="172" s="14" customFormat="1" spans="1:5">
      <c r="A172" s="18"/>
      <c r="B172" s="18"/>
      <c r="C172" s="18"/>
      <c r="D172" s="18"/>
      <c r="E172" s="18"/>
    </row>
    <row r="173" s="14" customFormat="1" spans="1:5">
      <c r="A173" s="18"/>
      <c r="B173" s="18"/>
      <c r="C173" s="18"/>
      <c r="D173" s="18"/>
      <c r="E173" s="18"/>
    </row>
    <row r="174" s="14" customFormat="1" spans="1:5">
      <c r="A174" s="18"/>
      <c r="B174" s="18"/>
      <c r="C174" s="18"/>
      <c r="D174" s="18"/>
      <c r="E174" s="18"/>
    </row>
    <row r="175" s="14" customFormat="1" spans="1:5">
      <c r="A175" s="18"/>
      <c r="B175" s="18"/>
      <c r="C175" s="18"/>
      <c r="D175" s="18"/>
      <c r="E175" s="18"/>
    </row>
    <row r="176" s="14" customFormat="1" spans="1:5">
      <c r="A176" s="18"/>
      <c r="B176" s="18"/>
      <c r="C176" s="18"/>
      <c r="D176" s="18"/>
      <c r="E176" s="18"/>
    </row>
    <row r="177" s="14" customFormat="1" spans="1:5">
      <c r="A177" s="18"/>
      <c r="B177" s="18"/>
      <c r="C177" s="18"/>
      <c r="D177" s="18"/>
      <c r="E177" s="18"/>
    </row>
    <row r="178" s="14" customFormat="1" spans="1:5">
      <c r="A178" s="18"/>
      <c r="B178" s="18"/>
      <c r="C178" s="18"/>
      <c r="D178" s="18"/>
      <c r="E178" s="18"/>
    </row>
    <row r="179" s="14" customFormat="1" spans="1:5">
      <c r="A179" s="18"/>
      <c r="B179" s="18"/>
      <c r="C179" s="18"/>
      <c r="D179" s="18"/>
      <c r="E179" s="18"/>
    </row>
    <row r="180" s="14" customFormat="1" spans="1:5">
      <c r="A180" s="18"/>
      <c r="B180" s="18"/>
      <c r="C180" s="18"/>
      <c r="D180" s="18"/>
      <c r="E180" s="18"/>
    </row>
    <row r="181" s="14" customFormat="1" spans="1:5">
      <c r="A181" s="18"/>
      <c r="B181" s="18"/>
      <c r="C181" s="18"/>
      <c r="D181" s="18"/>
      <c r="E181" s="18"/>
    </row>
    <row r="182" s="14" customFormat="1" spans="1:5">
      <c r="A182" s="18"/>
      <c r="B182" s="18"/>
      <c r="C182" s="18"/>
      <c r="D182" s="18"/>
      <c r="E182" s="18"/>
    </row>
    <row r="183" s="14" customFormat="1" spans="1:5">
      <c r="A183" s="18"/>
      <c r="B183" s="18"/>
      <c r="C183" s="18"/>
      <c r="D183" s="18"/>
      <c r="E183" s="18"/>
    </row>
    <row r="184" s="14" customFormat="1" spans="1:5">
      <c r="A184" s="18"/>
      <c r="B184" s="18"/>
      <c r="C184" s="18"/>
      <c r="D184" s="18"/>
      <c r="E184" s="18"/>
    </row>
    <row r="185" s="14" customFormat="1" spans="1:5">
      <c r="A185" s="18"/>
      <c r="B185" s="18"/>
      <c r="C185" s="18"/>
      <c r="D185" s="18"/>
      <c r="E185" s="18"/>
    </row>
    <row r="186" s="14" customFormat="1" spans="1:5">
      <c r="A186" s="18"/>
      <c r="B186" s="18"/>
      <c r="C186" s="18"/>
      <c r="D186" s="18"/>
      <c r="E186" s="18"/>
    </row>
  </sheetData>
  <mergeCells count="4">
    <mergeCell ref="A1:D1"/>
    <mergeCell ref="B2:D2"/>
    <mergeCell ref="A2:A3"/>
    <mergeCell ref="E2:E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R186"/>
  <sheetViews>
    <sheetView workbookViewId="0">
      <selection activeCell="D10" sqref="D10"/>
    </sheetView>
  </sheetViews>
  <sheetFormatPr defaultColWidth="14" defaultRowHeight="17.25"/>
  <cols>
    <col min="1" max="1" width="56.2857142857143" style="14" customWidth="1"/>
    <col min="2" max="2" width="16.8857142857143" style="14" customWidth="1"/>
    <col min="3" max="3" width="130.428571428571" style="14" customWidth="1"/>
    <col min="4" max="16384" width="14" style="14"/>
  </cols>
  <sheetData>
    <row r="1" s="14" customFormat="1" ht="15" customHeight="1" spans="1:18">
      <c r="A1" s="15" t="s">
        <v>149</v>
      </c>
      <c r="B1" s="32"/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="14" customFormat="1" ht="15" customHeight="1" spans="1:18">
      <c r="A2" s="15" t="s">
        <v>150</v>
      </c>
      <c r="B2" s="15" t="s">
        <v>3</v>
      </c>
      <c r="C2" s="19" t="s">
        <v>152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="14" customFormat="1" ht="15" customHeight="1" spans="1:18">
      <c r="A3" s="15"/>
      <c r="B3" s="15"/>
      <c r="C3" s="19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="14" customFormat="1" ht="15" customHeight="1" spans="1:18">
      <c r="A4" s="7" t="s">
        <v>153</v>
      </c>
      <c r="B4" s="11"/>
      <c r="C4" s="21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="14" customFormat="1" ht="15" customHeight="1" spans="1:18">
      <c r="A5" s="7" t="s">
        <v>121</v>
      </c>
      <c r="B5" s="22">
        <f>年度运营成本测算明细!F5</f>
        <v>165</v>
      </c>
      <c r="C5" s="7" t="s">
        <v>188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="14" customFormat="1" ht="15" customHeight="1" spans="1:18">
      <c r="A6" s="7" t="s">
        <v>73</v>
      </c>
      <c r="B6" s="22">
        <f>年度运营成本测算明细!F6</f>
        <v>302.5</v>
      </c>
      <c r="C6" s="7" t="s">
        <v>189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="14" customFormat="1" ht="15" customHeight="1" spans="1:18">
      <c r="A7" s="7" t="s">
        <v>74</v>
      </c>
      <c r="B7" s="22">
        <f>年度运营成本测算明细!F7</f>
        <v>371.25</v>
      </c>
      <c r="C7" s="7" t="s">
        <v>190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="14" customFormat="1" ht="15" customHeight="1" spans="1:18">
      <c r="A8" s="7" t="s">
        <v>122</v>
      </c>
      <c r="B8" s="22">
        <f>年度运营成本测算明细!F8</f>
        <v>90</v>
      </c>
      <c r="C8" s="7" t="s">
        <v>191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="14" customFormat="1" ht="15" customHeight="1" spans="1:18">
      <c r="A9" s="23" t="s">
        <v>158</v>
      </c>
      <c r="B9" s="22">
        <f>年度运营成本测算明细!F9</f>
        <v>928.75</v>
      </c>
      <c r="C9" s="7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="14" customFormat="1" ht="15" customHeight="1" spans="1:18">
      <c r="A10" s="25" t="s">
        <v>159</v>
      </c>
      <c r="B10" s="22">
        <f>年度运营成本测算明细!F10</f>
        <v>0</v>
      </c>
      <c r="C10" s="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="14" customFormat="1" ht="15" customHeight="1" spans="1:18">
      <c r="A11" s="7" t="s">
        <v>124</v>
      </c>
      <c r="B11" s="22">
        <f>年度运营成本测算明细!F11</f>
        <v>141.509433962264</v>
      </c>
      <c r="C11" s="7" t="s">
        <v>160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="14" customFormat="1" ht="15" customHeight="1" spans="1:18">
      <c r="A12" s="7" t="s">
        <v>125</v>
      </c>
      <c r="B12" s="22">
        <f>年度运营成本测算明细!F12</f>
        <v>71.6981132075472</v>
      </c>
      <c r="C12" s="7" t="s">
        <v>192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="14" customFormat="1" ht="15" customHeight="1" spans="1:18">
      <c r="A13" s="7"/>
      <c r="B13" s="22">
        <f>年度运营成本测算明细!F13</f>
        <v>0</v>
      </c>
      <c r="C13" s="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="14" customFormat="1" ht="15" customHeight="1" spans="1:18">
      <c r="A14" s="7"/>
      <c r="B14" s="22">
        <f>年度运营成本测算明细!F14</f>
        <v>0</v>
      </c>
      <c r="C14" s="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="14" customFormat="1" ht="15" customHeight="1" spans="1:18">
      <c r="A15" s="23" t="s">
        <v>162</v>
      </c>
      <c r="B15" s="22">
        <f>年度运营成本测算明细!F15</f>
        <v>213.207547169811</v>
      </c>
      <c r="C15" s="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="14" customFormat="1" ht="15" customHeight="1" spans="1:18">
      <c r="A16" s="26" t="s">
        <v>163</v>
      </c>
      <c r="B16" s="22">
        <f>年度运营成本测算明细!F16</f>
        <v>0</v>
      </c>
      <c r="C16" s="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="14" customFormat="1" ht="15" customHeight="1" spans="1:18">
      <c r="A17" s="26" t="s">
        <v>127</v>
      </c>
      <c r="B17" s="22">
        <f>年度运营成本测算明细!F17</f>
        <v>0</v>
      </c>
      <c r="C17" s="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="14" customFormat="1" ht="15" customHeight="1" spans="1:18">
      <c r="A18" s="23" t="s">
        <v>165</v>
      </c>
      <c r="B18" s="22">
        <f>年度运营成本测算明细!F18</f>
        <v>0</v>
      </c>
      <c r="C18" s="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="14" customFormat="1" ht="15" customHeight="1" spans="1:18">
      <c r="A19" s="7" t="s">
        <v>166</v>
      </c>
      <c r="B19" s="22">
        <f>年度运营成本测算明细!F19</f>
        <v>0</v>
      </c>
      <c r="C19" s="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="14" customFormat="1" ht="15" customHeight="1" spans="1:18">
      <c r="A20" s="7" t="s">
        <v>129</v>
      </c>
      <c r="B20" s="27">
        <f>年度运营成本测算明细!F20</f>
        <v>235.358490566038</v>
      </c>
      <c r="C20" s="7" t="s">
        <v>167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="14" customFormat="1" ht="15" customHeight="1" spans="1:18">
      <c r="A21" s="7" t="s">
        <v>130</v>
      </c>
      <c r="B21" s="22">
        <f>年度运营成本测算明细!F21</f>
        <v>39.2264150943396</v>
      </c>
      <c r="C21" s="7" t="s">
        <v>168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="14" customFormat="1" ht="15" customHeight="1" spans="1:18">
      <c r="A22" s="5" t="s">
        <v>169</v>
      </c>
      <c r="B22" s="22">
        <f>年度运营成本测算明细!F22</f>
        <v>274.584905660377</v>
      </c>
      <c r="C22" s="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s="14" customFormat="1" ht="15" customHeight="1" spans="1:18">
      <c r="A23" s="28" t="s">
        <v>170</v>
      </c>
      <c r="B23" s="22">
        <f>年度运营成本测算明细!F23</f>
        <v>0</v>
      </c>
      <c r="C23" s="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="14" customFormat="1" ht="15" customHeight="1" spans="1:18">
      <c r="A24" s="7" t="s">
        <v>132</v>
      </c>
      <c r="B24" s="22">
        <f>年度运营成本测算明细!F24</f>
        <v>0</v>
      </c>
      <c r="C24" s="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 s="14" customFormat="1" ht="36" customHeight="1" spans="1:18">
      <c r="A25" s="7" t="s">
        <v>133</v>
      </c>
      <c r="B25" s="22">
        <f>年度运营成本测算明细!F25</f>
        <v>20.2362385321101</v>
      </c>
      <c r="C25" s="29" t="s">
        <v>172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</row>
    <row r="26" s="14" customFormat="1" ht="15" customHeight="1" spans="1:18">
      <c r="A26" s="7" t="s">
        <v>134</v>
      </c>
      <c r="B26" s="22">
        <f>年度运营成本测算明细!F26</f>
        <v>5.30660377358491</v>
      </c>
      <c r="C26" s="7" t="s">
        <v>173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 s="14" customFormat="1" ht="15" customHeight="1" spans="1:18">
      <c r="A27" s="7" t="s">
        <v>135</v>
      </c>
      <c r="B27" s="22">
        <f>年度运营成本测算明细!F27</f>
        <v>26.25</v>
      </c>
      <c r="C27" s="7" t="s">
        <v>174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</row>
    <row r="28" s="14" customFormat="1" ht="15" customHeight="1" spans="1:18">
      <c r="A28" s="5" t="s">
        <v>175</v>
      </c>
      <c r="B28" s="22">
        <f>年度运营成本测算明细!F28</f>
        <v>51.792842305695</v>
      </c>
      <c r="C28" s="7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</row>
    <row r="29" s="14" customFormat="1" ht="15" customHeight="1" spans="1:18">
      <c r="A29" s="28" t="s">
        <v>176</v>
      </c>
      <c r="B29" s="22">
        <f>年度运营成本测算明细!F29</f>
        <v>3.59279134390687</v>
      </c>
      <c r="C29" s="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</row>
    <row r="30" s="14" customFormat="1" ht="15" customHeight="1" spans="1:18">
      <c r="A30" s="7" t="s">
        <v>177</v>
      </c>
      <c r="B30" s="22">
        <f>年度运营成本测算明细!F30</f>
        <v>1471.92808647979</v>
      </c>
      <c r="C30" s="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</row>
    <row r="31" s="14" customFormat="1" ht="15" customHeight="1" spans="1:18">
      <c r="A31" s="30"/>
      <c r="B31" s="31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</row>
    <row r="32" s="14" customFormat="1" spans="1:18">
      <c r="A32" s="30" t="s">
        <v>178</v>
      </c>
      <c r="B32" s="31">
        <f>(SUM(B9,B15,B18,B28))/(项目预算表!F21-项目预算表!F21*项目预算表!F22-项目预算表!F21*项目预算表!F23)</f>
        <v>9182.69530365774</v>
      </c>
    </row>
    <row r="33" s="14" customFormat="1" spans="1:3">
      <c r="A33" s="30" t="s">
        <v>179</v>
      </c>
      <c r="B33" s="31">
        <f>B32*0.2</f>
        <v>1836.53906073155</v>
      </c>
      <c r="C33" s="18"/>
    </row>
    <row r="34" s="14" customFormat="1" spans="1:3">
      <c r="A34" s="30" t="s">
        <v>180</v>
      </c>
      <c r="B34" s="31">
        <v>6000</v>
      </c>
      <c r="C34" s="18"/>
    </row>
    <row r="35" s="14" customFormat="1" spans="1:3">
      <c r="A35" s="30" t="s">
        <v>54</v>
      </c>
      <c r="B35" s="31">
        <f>B33-B30</f>
        <v>364.61097425176</v>
      </c>
      <c r="C35" s="18"/>
    </row>
    <row r="36" s="14" customFormat="1" spans="1:3">
      <c r="A36" s="18" t="s">
        <v>181</v>
      </c>
      <c r="B36" s="31">
        <f>B32/(项目预算表!F20*365/1000)</f>
        <v>838.602310836323</v>
      </c>
      <c r="C36" s="18"/>
    </row>
    <row r="37" s="14" customFormat="1" spans="1:3">
      <c r="A37" s="18"/>
      <c r="B37" s="18"/>
      <c r="C37" s="18"/>
    </row>
    <row r="38" s="14" customFormat="1" spans="1:3">
      <c r="A38" s="18" t="s">
        <v>182</v>
      </c>
      <c r="B38" s="31">
        <v>4000</v>
      </c>
      <c r="C38" s="18"/>
    </row>
    <row r="39" s="14" customFormat="1" spans="1:3">
      <c r="A39" s="18" t="s">
        <v>181</v>
      </c>
      <c r="B39" s="31">
        <f>B38/(项目预算表!F20*365/1000)</f>
        <v>365.296803652968</v>
      </c>
      <c r="C39" s="18"/>
    </row>
    <row r="40" s="14" customFormat="1" spans="1:3">
      <c r="A40" s="30" t="s">
        <v>54</v>
      </c>
      <c r="B40" s="31">
        <f>B38*0.2-(B30-B22)-B38*项目预算表!F21*(项目预算表!F22+项目预算表!F23)</f>
        <v>-677.343180819413</v>
      </c>
      <c r="C40" s="18"/>
    </row>
    <row r="41" s="14" customFormat="1" spans="1:3">
      <c r="A41" s="18"/>
      <c r="B41" s="18"/>
      <c r="C41" s="18"/>
    </row>
    <row r="42" s="14" customFormat="1" spans="1:3">
      <c r="A42" s="18"/>
      <c r="B42" s="18"/>
      <c r="C42" s="18"/>
    </row>
    <row r="43" s="14" customFormat="1" spans="1:3">
      <c r="A43" s="18"/>
      <c r="B43" s="18"/>
      <c r="C43" s="18"/>
    </row>
    <row r="44" s="14" customFormat="1" spans="1:3">
      <c r="A44" s="18"/>
      <c r="B44" s="18"/>
      <c r="C44" s="18"/>
    </row>
    <row r="45" s="14" customFormat="1" spans="1:3">
      <c r="A45" s="18"/>
      <c r="B45" s="18"/>
      <c r="C45" s="18"/>
    </row>
    <row r="46" s="14" customFormat="1" spans="1:3">
      <c r="A46" s="18"/>
      <c r="B46" s="18"/>
      <c r="C46" s="18"/>
    </row>
    <row r="47" s="14" customFormat="1" spans="1:3">
      <c r="A47" s="18"/>
      <c r="B47" s="18"/>
      <c r="C47" s="18"/>
    </row>
    <row r="48" s="14" customFormat="1" spans="1:3">
      <c r="A48" s="18"/>
      <c r="B48" s="18"/>
      <c r="C48" s="18"/>
    </row>
    <row r="49" s="14" customFormat="1" spans="1:3">
      <c r="A49" s="18"/>
      <c r="B49" s="18"/>
      <c r="C49" s="18"/>
    </row>
    <row r="50" s="14" customFormat="1" spans="1:3">
      <c r="A50" s="18"/>
      <c r="B50" s="18"/>
      <c r="C50" s="18"/>
    </row>
    <row r="51" s="14" customFormat="1" spans="1:3">
      <c r="A51" s="18"/>
      <c r="B51" s="18"/>
      <c r="C51" s="18"/>
    </row>
    <row r="52" s="14" customFormat="1" spans="1:3">
      <c r="A52" s="18"/>
      <c r="B52" s="18"/>
      <c r="C52" s="18"/>
    </row>
    <row r="53" s="14" customFormat="1" spans="1:3">
      <c r="A53" s="18"/>
      <c r="B53" s="18"/>
      <c r="C53" s="18"/>
    </row>
    <row r="54" s="14" customFormat="1" spans="1:3">
      <c r="A54" s="18"/>
      <c r="B54" s="18"/>
      <c r="C54" s="18"/>
    </row>
    <row r="55" s="14" customFormat="1" spans="1:3">
      <c r="A55" s="18"/>
      <c r="B55" s="18"/>
      <c r="C55" s="18"/>
    </row>
    <row r="56" s="14" customFormat="1" spans="1:3">
      <c r="A56" s="18"/>
      <c r="B56" s="18"/>
      <c r="C56" s="18"/>
    </row>
    <row r="57" s="14" customFormat="1" spans="1:3">
      <c r="A57" s="18"/>
      <c r="B57" s="18"/>
      <c r="C57" s="18"/>
    </row>
    <row r="58" s="14" customFormat="1" spans="1:3">
      <c r="A58" s="18"/>
      <c r="B58" s="18"/>
      <c r="C58" s="18"/>
    </row>
    <row r="59" s="14" customFormat="1" spans="1:3">
      <c r="A59" s="18"/>
      <c r="B59" s="18"/>
      <c r="C59" s="18"/>
    </row>
    <row r="60" s="14" customFormat="1" spans="1:3">
      <c r="A60" s="18"/>
      <c r="B60" s="18"/>
      <c r="C60" s="18"/>
    </row>
    <row r="61" s="14" customFormat="1" spans="1:3">
      <c r="A61" s="18"/>
      <c r="B61" s="18"/>
      <c r="C61" s="18"/>
    </row>
    <row r="62" s="14" customFormat="1" spans="1:3">
      <c r="A62" s="18"/>
      <c r="B62" s="18"/>
      <c r="C62" s="18"/>
    </row>
    <row r="63" s="14" customFormat="1" spans="1:3">
      <c r="A63" s="18"/>
      <c r="B63" s="18"/>
      <c r="C63" s="18"/>
    </row>
    <row r="64" s="14" customFormat="1" spans="1:3">
      <c r="A64" s="18"/>
      <c r="B64" s="18"/>
      <c r="C64" s="18"/>
    </row>
    <row r="65" s="14" customFormat="1" spans="1:3">
      <c r="A65" s="18"/>
      <c r="B65" s="18"/>
      <c r="C65" s="18"/>
    </row>
    <row r="66" s="14" customFormat="1" spans="1:3">
      <c r="A66" s="18"/>
      <c r="B66" s="18"/>
      <c r="C66" s="18"/>
    </row>
    <row r="67" s="14" customFormat="1" spans="1:3">
      <c r="A67" s="18"/>
      <c r="B67" s="18"/>
      <c r="C67" s="18"/>
    </row>
    <row r="68" s="14" customFormat="1" spans="1:3">
      <c r="A68" s="18"/>
      <c r="B68" s="18"/>
      <c r="C68" s="18"/>
    </row>
    <row r="69" s="14" customFormat="1" spans="1:3">
      <c r="A69" s="18"/>
      <c r="B69" s="18"/>
      <c r="C69" s="18"/>
    </row>
    <row r="70" s="14" customFormat="1" spans="1:3">
      <c r="A70" s="18"/>
      <c r="B70" s="18"/>
      <c r="C70" s="18"/>
    </row>
    <row r="71" s="14" customFormat="1" spans="1:3">
      <c r="A71" s="18"/>
      <c r="B71" s="18"/>
      <c r="C71" s="18"/>
    </row>
    <row r="72" s="14" customFormat="1" spans="1:3">
      <c r="A72" s="18"/>
      <c r="B72" s="18"/>
      <c r="C72" s="18"/>
    </row>
    <row r="73" s="14" customFormat="1" spans="1:3">
      <c r="A73" s="18"/>
      <c r="B73" s="18"/>
      <c r="C73" s="18"/>
    </row>
    <row r="74" s="14" customFormat="1" spans="1:3">
      <c r="A74" s="18"/>
      <c r="B74" s="18"/>
      <c r="C74" s="18"/>
    </row>
    <row r="75" s="14" customFormat="1" spans="1:3">
      <c r="A75" s="18"/>
      <c r="B75" s="18"/>
      <c r="C75" s="18"/>
    </row>
    <row r="76" s="14" customFormat="1" spans="1:3">
      <c r="A76" s="18"/>
      <c r="B76" s="18"/>
      <c r="C76" s="18"/>
    </row>
    <row r="77" s="14" customFormat="1" spans="1:3">
      <c r="A77" s="18"/>
      <c r="B77" s="18"/>
      <c r="C77" s="18"/>
    </row>
    <row r="78" s="14" customFormat="1" spans="1:3">
      <c r="A78" s="18"/>
      <c r="B78" s="18"/>
      <c r="C78" s="18"/>
    </row>
    <row r="79" s="14" customFormat="1" spans="1:3">
      <c r="A79" s="18"/>
      <c r="B79" s="18"/>
      <c r="C79" s="18"/>
    </row>
    <row r="80" s="14" customFormat="1" spans="1:3">
      <c r="A80" s="18"/>
      <c r="B80" s="18"/>
      <c r="C80" s="18"/>
    </row>
    <row r="81" s="14" customFormat="1" spans="1:3">
      <c r="A81" s="18"/>
      <c r="B81" s="18"/>
      <c r="C81" s="18"/>
    </row>
    <row r="82" s="14" customFormat="1" spans="1:3">
      <c r="A82" s="18"/>
      <c r="B82" s="18"/>
      <c r="C82" s="18"/>
    </row>
    <row r="83" s="14" customFormat="1" spans="1:3">
      <c r="A83" s="18"/>
      <c r="B83" s="18"/>
      <c r="C83" s="18"/>
    </row>
    <row r="84" s="14" customFormat="1" spans="1:3">
      <c r="A84" s="18"/>
      <c r="B84" s="18"/>
      <c r="C84" s="18"/>
    </row>
    <row r="85" s="14" customFormat="1" spans="1:3">
      <c r="A85" s="18"/>
      <c r="B85" s="18"/>
      <c r="C85" s="18"/>
    </row>
    <row r="86" s="14" customFormat="1" spans="1:3">
      <c r="A86" s="18"/>
      <c r="B86" s="18"/>
      <c r="C86" s="18"/>
    </row>
    <row r="87" s="14" customFormat="1" spans="1:3">
      <c r="A87" s="18"/>
      <c r="B87" s="18"/>
      <c r="C87" s="18"/>
    </row>
    <row r="88" s="14" customFormat="1" spans="1:3">
      <c r="A88" s="18"/>
      <c r="B88" s="18"/>
      <c r="C88" s="18"/>
    </row>
    <row r="89" s="14" customFormat="1" spans="1:3">
      <c r="A89" s="18"/>
      <c r="B89" s="18"/>
      <c r="C89" s="18"/>
    </row>
    <row r="90" s="14" customFormat="1" spans="1:3">
      <c r="A90" s="18"/>
      <c r="B90" s="18"/>
      <c r="C90" s="18"/>
    </row>
    <row r="91" s="14" customFormat="1" spans="1:3">
      <c r="A91" s="18"/>
      <c r="B91" s="18"/>
      <c r="C91" s="18"/>
    </row>
    <row r="92" s="14" customFormat="1" spans="1:3">
      <c r="A92" s="18"/>
      <c r="B92" s="18"/>
      <c r="C92" s="18"/>
    </row>
    <row r="93" s="14" customFormat="1" spans="1:3">
      <c r="A93" s="18"/>
      <c r="B93" s="18"/>
      <c r="C93" s="18"/>
    </row>
    <row r="94" s="14" customFormat="1" spans="1:3">
      <c r="A94" s="18"/>
      <c r="B94" s="18"/>
      <c r="C94" s="18"/>
    </row>
    <row r="95" s="14" customFormat="1" spans="1:3">
      <c r="A95" s="18"/>
      <c r="B95" s="18"/>
      <c r="C95" s="18"/>
    </row>
    <row r="96" s="14" customFormat="1" spans="1:3">
      <c r="A96" s="18"/>
      <c r="B96" s="18"/>
      <c r="C96" s="18"/>
    </row>
    <row r="97" s="14" customFormat="1" spans="1:3">
      <c r="A97" s="18"/>
      <c r="B97" s="18"/>
      <c r="C97" s="18"/>
    </row>
    <row r="98" s="14" customFormat="1" spans="1:3">
      <c r="A98" s="18"/>
      <c r="B98" s="18"/>
      <c r="C98" s="18"/>
    </row>
    <row r="99" s="14" customFormat="1" spans="1:3">
      <c r="A99" s="18"/>
      <c r="B99" s="18"/>
      <c r="C99" s="18"/>
    </row>
    <row r="100" s="14" customFormat="1" spans="1:3">
      <c r="A100" s="18"/>
      <c r="B100" s="18"/>
      <c r="C100" s="18"/>
    </row>
    <row r="101" s="14" customFormat="1" spans="1:3">
      <c r="A101" s="18"/>
      <c r="B101" s="18"/>
      <c r="C101" s="18"/>
    </row>
    <row r="102" s="14" customFormat="1" spans="1:3">
      <c r="A102" s="18"/>
      <c r="B102" s="18"/>
      <c r="C102" s="18"/>
    </row>
    <row r="103" s="14" customFormat="1" spans="1:3">
      <c r="A103" s="18"/>
      <c r="B103" s="18"/>
      <c r="C103" s="18"/>
    </row>
    <row r="104" s="14" customFormat="1" spans="1:3">
      <c r="A104" s="18"/>
      <c r="B104" s="18"/>
      <c r="C104" s="18"/>
    </row>
    <row r="105" s="14" customFormat="1" spans="1:3">
      <c r="A105" s="18"/>
      <c r="B105" s="18"/>
      <c r="C105" s="18"/>
    </row>
    <row r="106" s="14" customFormat="1" spans="1:3">
      <c r="A106" s="18"/>
      <c r="B106" s="18"/>
      <c r="C106" s="18"/>
    </row>
    <row r="107" s="14" customFormat="1" spans="1:3">
      <c r="A107" s="18"/>
      <c r="B107" s="18"/>
      <c r="C107" s="18"/>
    </row>
    <row r="108" s="14" customFormat="1" spans="1:3">
      <c r="A108" s="18"/>
      <c r="B108" s="18"/>
      <c r="C108" s="18"/>
    </row>
    <row r="109" s="14" customFormat="1" spans="1:3">
      <c r="A109" s="18"/>
      <c r="B109" s="18"/>
      <c r="C109" s="18"/>
    </row>
    <row r="110" s="14" customFormat="1" spans="1:3">
      <c r="A110" s="18"/>
      <c r="B110" s="18"/>
      <c r="C110" s="18"/>
    </row>
    <row r="111" s="14" customFormat="1" spans="1:3">
      <c r="A111" s="18"/>
      <c r="B111" s="18"/>
      <c r="C111" s="18"/>
    </row>
    <row r="112" s="14" customFormat="1" spans="1:3">
      <c r="A112" s="18"/>
      <c r="B112" s="18"/>
      <c r="C112" s="18"/>
    </row>
    <row r="113" s="14" customFormat="1" spans="1:3">
      <c r="A113" s="18"/>
      <c r="B113" s="18"/>
      <c r="C113" s="18"/>
    </row>
    <row r="114" s="14" customFormat="1" spans="1:3">
      <c r="A114" s="18"/>
      <c r="B114" s="18"/>
      <c r="C114" s="18"/>
    </row>
    <row r="115" s="14" customFormat="1" spans="1:3">
      <c r="A115" s="18"/>
      <c r="B115" s="18"/>
      <c r="C115" s="18"/>
    </row>
    <row r="116" s="14" customFormat="1" spans="1:3">
      <c r="A116" s="18"/>
      <c r="B116" s="18"/>
      <c r="C116" s="18"/>
    </row>
    <row r="117" s="14" customFormat="1" spans="1:3">
      <c r="A117" s="18"/>
      <c r="B117" s="18"/>
      <c r="C117" s="18"/>
    </row>
    <row r="118" s="14" customFormat="1" spans="1:3">
      <c r="A118" s="18"/>
      <c r="B118" s="18"/>
      <c r="C118" s="18"/>
    </row>
    <row r="119" s="14" customFormat="1" spans="1:3">
      <c r="A119" s="18"/>
      <c r="B119" s="18"/>
      <c r="C119" s="18"/>
    </row>
    <row r="120" s="14" customFormat="1" spans="1:3">
      <c r="A120" s="18"/>
      <c r="B120" s="18"/>
      <c r="C120" s="18"/>
    </row>
    <row r="121" s="14" customFormat="1" spans="1:3">
      <c r="A121" s="18"/>
      <c r="B121" s="18"/>
      <c r="C121" s="18"/>
    </row>
    <row r="122" s="14" customFormat="1" spans="1:3">
      <c r="A122" s="18"/>
      <c r="B122" s="18"/>
      <c r="C122" s="18"/>
    </row>
    <row r="123" s="14" customFormat="1" spans="1:3">
      <c r="A123" s="18"/>
      <c r="B123" s="18"/>
      <c r="C123" s="18"/>
    </row>
    <row r="124" s="14" customFormat="1" spans="1:3">
      <c r="A124" s="18"/>
      <c r="B124" s="18"/>
      <c r="C124" s="18"/>
    </row>
    <row r="125" s="14" customFormat="1" spans="1:3">
      <c r="A125" s="18"/>
      <c r="B125" s="18"/>
      <c r="C125" s="18"/>
    </row>
    <row r="126" s="14" customFormat="1" spans="1:3">
      <c r="A126" s="18"/>
      <c r="B126" s="18"/>
      <c r="C126" s="18"/>
    </row>
    <row r="127" s="14" customFormat="1" spans="1:3">
      <c r="A127" s="18"/>
      <c r="B127" s="18"/>
      <c r="C127" s="18"/>
    </row>
    <row r="128" s="14" customFormat="1" spans="1:3">
      <c r="A128" s="18"/>
      <c r="B128" s="18"/>
      <c r="C128" s="18"/>
    </row>
    <row r="129" s="14" customFormat="1" spans="1:3">
      <c r="A129" s="18"/>
      <c r="B129" s="18"/>
      <c r="C129" s="18"/>
    </row>
    <row r="130" s="14" customFormat="1" spans="1:3">
      <c r="A130" s="18"/>
      <c r="B130" s="18"/>
      <c r="C130" s="18"/>
    </row>
    <row r="131" s="14" customFormat="1" spans="1:3">
      <c r="A131" s="18"/>
      <c r="B131" s="18"/>
      <c r="C131" s="18"/>
    </row>
    <row r="132" s="14" customFormat="1" spans="1:3">
      <c r="A132" s="18"/>
      <c r="B132" s="18"/>
      <c r="C132" s="18"/>
    </row>
    <row r="133" s="14" customFormat="1" spans="1:3">
      <c r="A133" s="18"/>
      <c r="B133" s="18"/>
      <c r="C133" s="18"/>
    </row>
    <row r="134" s="14" customFormat="1" spans="1:3">
      <c r="A134" s="18"/>
      <c r="B134" s="18"/>
      <c r="C134" s="18"/>
    </row>
    <row r="135" s="14" customFormat="1" spans="1:3">
      <c r="A135" s="18"/>
      <c r="B135" s="18"/>
      <c r="C135" s="18"/>
    </row>
    <row r="136" s="14" customFormat="1" spans="1:3">
      <c r="A136" s="18"/>
      <c r="B136" s="18"/>
      <c r="C136" s="18"/>
    </row>
    <row r="137" s="14" customFormat="1" spans="1:3">
      <c r="A137" s="18"/>
      <c r="B137" s="18"/>
      <c r="C137" s="18"/>
    </row>
    <row r="138" s="14" customFormat="1" spans="1:3">
      <c r="A138" s="18"/>
      <c r="B138" s="18"/>
      <c r="C138" s="18"/>
    </row>
    <row r="139" s="14" customFormat="1" spans="1:3">
      <c r="A139" s="18"/>
      <c r="B139" s="18"/>
      <c r="C139" s="18"/>
    </row>
    <row r="140" s="14" customFormat="1" spans="1:3">
      <c r="A140" s="18"/>
      <c r="B140" s="18"/>
      <c r="C140" s="18"/>
    </row>
    <row r="141" s="14" customFormat="1" spans="1:3">
      <c r="A141" s="18"/>
      <c r="B141" s="18"/>
      <c r="C141" s="18"/>
    </row>
    <row r="142" s="14" customFormat="1" spans="1:3">
      <c r="A142" s="18"/>
      <c r="B142" s="18"/>
      <c r="C142" s="18"/>
    </row>
    <row r="143" s="14" customFormat="1" spans="1:3">
      <c r="A143" s="18"/>
      <c r="B143" s="18"/>
      <c r="C143" s="18"/>
    </row>
    <row r="144" s="14" customFormat="1" spans="1:3">
      <c r="A144" s="18"/>
      <c r="B144" s="18"/>
      <c r="C144" s="18"/>
    </row>
    <row r="145" s="14" customFormat="1" spans="1:3">
      <c r="A145" s="18"/>
      <c r="B145" s="18"/>
      <c r="C145" s="18"/>
    </row>
    <row r="146" s="14" customFormat="1" spans="1:3">
      <c r="A146" s="18"/>
      <c r="B146" s="18"/>
      <c r="C146" s="18"/>
    </row>
    <row r="147" s="14" customFormat="1" spans="1:3">
      <c r="A147" s="18"/>
      <c r="B147" s="18"/>
      <c r="C147" s="18"/>
    </row>
    <row r="148" s="14" customFormat="1" spans="1:3">
      <c r="A148" s="18"/>
      <c r="B148" s="18"/>
      <c r="C148" s="18"/>
    </row>
    <row r="149" s="14" customFormat="1" spans="1:3">
      <c r="A149" s="18"/>
      <c r="B149" s="18"/>
      <c r="C149" s="18"/>
    </row>
    <row r="150" s="14" customFormat="1" spans="1:3">
      <c r="A150" s="18"/>
      <c r="B150" s="18"/>
      <c r="C150" s="18"/>
    </row>
    <row r="151" s="14" customFormat="1" spans="1:3">
      <c r="A151" s="18"/>
      <c r="B151" s="18"/>
      <c r="C151" s="18"/>
    </row>
    <row r="152" s="14" customFormat="1" spans="1:3">
      <c r="A152" s="18"/>
      <c r="B152" s="18"/>
      <c r="C152" s="18"/>
    </row>
    <row r="153" s="14" customFormat="1" spans="1:3">
      <c r="A153" s="18"/>
      <c r="B153" s="18"/>
      <c r="C153" s="18"/>
    </row>
    <row r="154" s="14" customFormat="1" spans="1:3">
      <c r="A154" s="18"/>
      <c r="B154" s="18"/>
      <c r="C154" s="18"/>
    </row>
    <row r="155" s="14" customFormat="1" spans="1:3">
      <c r="A155" s="18"/>
      <c r="B155" s="18"/>
      <c r="C155" s="18"/>
    </row>
    <row r="156" s="14" customFormat="1" spans="1:3">
      <c r="A156" s="18"/>
      <c r="B156" s="18"/>
      <c r="C156" s="18"/>
    </row>
    <row r="157" s="14" customFormat="1" spans="1:3">
      <c r="A157" s="18"/>
      <c r="B157" s="18"/>
      <c r="C157" s="18"/>
    </row>
    <row r="158" s="14" customFormat="1" spans="1:3">
      <c r="A158" s="18"/>
      <c r="B158" s="18"/>
      <c r="C158" s="18"/>
    </row>
    <row r="159" s="14" customFormat="1" spans="1:3">
      <c r="A159" s="18"/>
      <c r="B159" s="18"/>
      <c r="C159" s="18"/>
    </row>
    <row r="160" s="14" customFormat="1" spans="1:3">
      <c r="A160" s="18"/>
      <c r="B160" s="18"/>
      <c r="C160" s="18"/>
    </row>
    <row r="161" s="14" customFormat="1" spans="1:3">
      <c r="A161" s="18"/>
      <c r="B161" s="18"/>
      <c r="C161" s="18"/>
    </row>
    <row r="162" s="14" customFormat="1" spans="1:3">
      <c r="A162" s="18"/>
      <c r="B162" s="18"/>
      <c r="C162" s="18"/>
    </row>
    <row r="163" s="14" customFormat="1" spans="1:3">
      <c r="A163" s="18"/>
      <c r="B163" s="18"/>
      <c r="C163" s="18"/>
    </row>
    <row r="164" s="14" customFormat="1" spans="1:3">
      <c r="A164" s="18"/>
      <c r="B164" s="18"/>
      <c r="C164" s="18"/>
    </row>
    <row r="165" s="14" customFormat="1" spans="1:3">
      <c r="A165" s="18"/>
      <c r="B165" s="18"/>
      <c r="C165" s="18"/>
    </row>
    <row r="166" s="14" customFormat="1" spans="1:3">
      <c r="A166" s="18"/>
      <c r="B166" s="18"/>
      <c r="C166" s="18"/>
    </row>
    <row r="167" s="14" customFormat="1" spans="1:3">
      <c r="A167" s="18"/>
      <c r="B167" s="18"/>
      <c r="C167" s="18"/>
    </row>
    <row r="168" s="14" customFormat="1" spans="1:3">
      <c r="A168" s="18"/>
      <c r="B168" s="18"/>
      <c r="C168" s="18"/>
    </row>
    <row r="169" s="14" customFormat="1" spans="1:3">
      <c r="A169" s="18"/>
      <c r="B169" s="18"/>
      <c r="C169" s="18"/>
    </row>
    <row r="170" s="14" customFormat="1" spans="1:3">
      <c r="A170" s="18"/>
      <c r="B170" s="18"/>
      <c r="C170" s="18"/>
    </row>
    <row r="171" s="14" customFormat="1" spans="1:3">
      <c r="A171" s="18"/>
      <c r="B171" s="18"/>
      <c r="C171" s="18"/>
    </row>
    <row r="172" s="14" customFormat="1" spans="1:3">
      <c r="A172" s="18"/>
      <c r="B172" s="18"/>
      <c r="C172" s="18"/>
    </row>
    <row r="173" s="14" customFormat="1" spans="1:3">
      <c r="A173" s="18"/>
      <c r="B173" s="18"/>
      <c r="C173" s="18"/>
    </row>
    <row r="174" s="14" customFormat="1" spans="1:3">
      <c r="A174" s="18"/>
      <c r="B174" s="18"/>
      <c r="C174" s="18"/>
    </row>
    <row r="175" s="14" customFormat="1" spans="1:3">
      <c r="A175" s="18"/>
      <c r="B175" s="18"/>
      <c r="C175" s="18"/>
    </row>
    <row r="176" s="14" customFormat="1" spans="1:3">
      <c r="A176" s="18"/>
      <c r="B176" s="18"/>
      <c r="C176" s="18"/>
    </row>
    <row r="177" s="14" customFormat="1" spans="1:3">
      <c r="A177" s="18"/>
      <c r="B177" s="18"/>
      <c r="C177" s="18"/>
    </row>
    <row r="178" s="14" customFormat="1" spans="1:3">
      <c r="A178" s="18"/>
      <c r="B178" s="18"/>
      <c r="C178" s="18"/>
    </row>
    <row r="179" s="14" customFormat="1" spans="1:3">
      <c r="A179" s="18"/>
      <c r="B179" s="18"/>
      <c r="C179" s="18"/>
    </row>
    <row r="180" s="14" customFormat="1" spans="1:3">
      <c r="A180" s="18"/>
      <c r="B180" s="18"/>
      <c r="C180" s="18"/>
    </row>
    <row r="181" s="14" customFormat="1" spans="1:3">
      <c r="A181" s="18"/>
      <c r="B181" s="18"/>
      <c r="C181" s="18"/>
    </row>
    <row r="182" s="14" customFormat="1" spans="1:3">
      <c r="A182" s="18"/>
      <c r="B182" s="18"/>
      <c r="C182" s="18"/>
    </row>
    <row r="183" s="14" customFormat="1" spans="1:3">
      <c r="A183" s="18"/>
      <c r="B183" s="18"/>
      <c r="C183" s="18"/>
    </row>
    <row r="184" s="14" customFormat="1" spans="1:3">
      <c r="A184" s="18"/>
      <c r="B184" s="18"/>
      <c r="C184" s="18"/>
    </row>
    <row r="185" s="14" customFormat="1" spans="1:3">
      <c r="A185" s="18"/>
      <c r="B185" s="18"/>
      <c r="C185" s="18"/>
    </row>
    <row r="186" s="14" customFormat="1" spans="1:3">
      <c r="A186" s="18"/>
      <c r="B186" s="18"/>
      <c r="C186" s="18"/>
    </row>
  </sheetData>
  <mergeCells count="4">
    <mergeCell ref="A1:B1"/>
    <mergeCell ref="A2:A3"/>
    <mergeCell ref="B2:B3"/>
    <mergeCell ref="C2:C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R186"/>
  <sheetViews>
    <sheetView workbookViewId="0">
      <selection activeCell="D10" sqref="D10"/>
    </sheetView>
  </sheetViews>
  <sheetFormatPr defaultColWidth="14" defaultRowHeight="17.25"/>
  <cols>
    <col min="1" max="1" width="70.7142857142857" style="14" customWidth="1"/>
    <col min="2" max="2" width="16.8857142857143" style="14" customWidth="1"/>
    <col min="3" max="3" width="130.428571428571" style="14" customWidth="1"/>
    <col min="4" max="16384" width="14" style="14"/>
  </cols>
  <sheetData>
    <row r="1" s="14" customFormat="1" ht="15" customHeight="1" spans="1:18">
      <c r="A1" s="15" t="s">
        <v>149</v>
      </c>
      <c r="B1" s="16"/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="14" customFormat="1" ht="15" customHeight="1" spans="1:18">
      <c r="A2" s="15" t="s">
        <v>150</v>
      </c>
      <c r="B2" s="19" t="s">
        <v>4</v>
      </c>
      <c r="C2" s="19" t="s">
        <v>152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="14" customFormat="1" ht="15" customHeight="1" spans="1:18">
      <c r="A3" s="15"/>
      <c r="B3" s="19"/>
      <c r="C3" s="19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="14" customFormat="1" ht="15" customHeight="1" spans="1:18">
      <c r="A4" s="7" t="s">
        <v>153</v>
      </c>
      <c r="B4" s="20"/>
      <c r="C4" s="21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="14" customFormat="1" ht="15" customHeight="1" spans="1:18">
      <c r="A5" s="7" t="s">
        <v>121</v>
      </c>
      <c r="B5" s="22">
        <f>年度运营成本测算明细!G5</f>
        <v>178.2</v>
      </c>
      <c r="C5" s="7" t="s">
        <v>193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="14" customFormat="1" ht="15" customHeight="1" spans="1:18">
      <c r="A6" s="7" t="s">
        <v>73</v>
      </c>
      <c r="B6" s="22">
        <f>年度运营成本测算明细!G6</f>
        <v>460.35</v>
      </c>
      <c r="C6" s="7" t="s">
        <v>194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="14" customFormat="1" ht="15" customHeight="1" spans="1:18">
      <c r="A7" s="7" t="s">
        <v>74</v>
      </c>
      <c r="B7" s="22">
        <f>年度运营成本测算明细!G7</f>
        <v>831.6</v>
      </c>
      <c r="C7" s="7" t="s">
        <v>195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="14" customFormat="1" ht="15" customHeight="1" spans="1:18">
      <c r="A8" s="7" t="s">
        <v>122</v>
      </c>
      <c r="B8" s="22">
        <f>年度运营成本测算明细!G8</f>
        <v>140.4</v>
      </c>
      <c r="C8" s="7" t="s">
        <v>196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s="14" customFormat="1" ht="15" customHeight="1" spans="1:18">
      <c r="A9" s="23" t="s">
        <v>158</v>
      </c>
      <c r="B9" s="24">
        <f>年度运营成本测算明细!G9</f>
        <v>1610.55</v>
      </c>
      <c r="C9" s="7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s="14" customFormat="1" ht="15" customHeight="1" spans="1:18">
      <c r="A10" s="25" t="s">
        <v>159</v>
      </c>
      <c r="B10" s="24">
        <f>年度运营成本测算明细!G10</f>
        <v>0</v>
      </c>
      <c r="C10" s="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="14" customFormat="1" ht="15" customHeight="1" spans="1:18">
      <c r="A11" s="7" t="s">
        <v>124</v>
      </c>
      <c r="B11" s="24">
        <f>年度运营成本测算明细!G11</f>
        <v>283.018867924528</v>
      </c>
      <c r="C11" s="7" t="s">
        <v>160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</row>
    <row r="12" s="14" customFormat="1" ht="15" customHeight="1" spans="1:18">
      <c r="A12" s="7" t="s">
        <v>125</v>
      </c>
      <c r="B12" s="24">
        <f>年度运营成本测算明细!G12</f>
        <v>264.150943396226</v>
      </c>
      <c r="C12" s="7" t="s">
        <v>197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</row>
    <row r="13" s="14" customFormat="1" ht="15" customHeight="1" spans="1:18">
      <c r="A13" s="7"/>
      <c r="B13" s="24">
        <f>年度运营成本测算明细!G13</f>
        <v>0</v>
      </c>
      <c r="C13" s="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="14" customFormat="1" ht="15" customHeight="1" spans="1:18">
      <c r="A14" s="7"/>
      <c r="B14" s="24">
        <f>年度运营成本测算明细!G14</f>
        <v>0</v>
      </c>
      <c r="C14" s="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</row>
    <row r="15" s="14" customFormat="1" ht="15" customHeight="1" spans="1:18">
      <c r="A15" s="23" t="s">
        <v>162</v>
      </c>
      <c r="B15" s="24">
        <f>年度运营成本测算明细!G15</f>
        <v>547.169811320755</v>
      </c>
      <c r="C15" s="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="14" customFormat="1" ht="15" customHeight="1" spans="1:18">
      <c r="A16" s="26" t="s">
        <v>163</v>
      </c>
      <c r="B16" s="24">
        <f>年度运营成本测算明细!G16</f>
        <v>0</v>
      </c>
      <c r="C16" s="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="14" customFormat="1" ht="15" customHeight="1" spans="1:18">
      <c r="A17" s="26" t="s">
        <v>127</v>
      </c>
      <c r="B17" s="24">
        <f>年度运营成本测算明细!G17</f>
        <v>0</v>
      </c>
      <c r="C17" s="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="14" customFormat="1" ht="15" customHeight="1" spans="1:18">
      <c r="A18" s="23" t="s">
        <v>165</v>
      </c>
      <c r="B18" s="24">
        <f>年度运营成本测算明细!G18</f>
        <v>0</v>
      </c>
      <c r="C18" s="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="14" customFormat="1" ht="15" customHeight="1" spans="1:18">
      <c r="A19" s="7" t="s">
        <v>166</v>
      </c>
      <c r="B19" s="24">
        <f>年度运营成本测算明细!G19</f>
        <v>0</v>
      </c>
      <c r="C19" s="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="14" customFormat="1" ht="15" customHeight="1" spans="1:18">
      <c r="A20" s="7" t="s">
        <v>129</v>
      </c>
      <c r="B20" s="27">
        <f>年度运营成本测算明细!G20</f>
        <v>1207.83396226415</v>
      </c>
      <c r="C20" s="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</row>
    <row r="21" s="14" customFormat="1" ht="15" customHeight="1" spans="1:18">
      <c r="A21" s="7" t="s">
        <v>130</v>
      </c>
      <c r="B21" s="22">
        <f>年度运营成本测算明细!G21</f>
        <v>201.305660377358</v>
      </c>
      <c r="C21" s="7" t="s">
        <v>168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</row>
    <row r="22" s="14" customFormat="1" ht="15" customHeight="1" spans="1:18">
      <c r="A22" s="5" t="s">
        <v>169</v>
      </c>
      <c r="B22" s="24">
        <f>年度运营成本测算明细!G22</f>
        <v>1409.13962264151</v>
      </c>
      <c r="C22" s="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s="14" customFormat="1" ht="15" customHeight="1" spans="1:18">
      <c r="A23" s="28" t="s">
        <v>170</v>
      </c>
      <c r="B23" s="22">
        <f>年度运营成本测算明细!G23</f>
        <v>0</v>
      </c>
      <c r="C23" s="7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="14" customFormat="1" ht="15" customHeight="1" spans="1:18">
      <c r="A24" s="7" t="s">
        <v>132</v>
      </c>
      <c r="B24" s="22">
        <f>年度运营成本测算明细!G24</f>
        <v>141.509433962264</v>
      </c>
      <c r="C24" s="7" t="s">
        <v>171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5" s="14" customFormat="1" ht="36" customHeight="1" spans="1:18">
      <c r="A25" s="7" t="s">
        <v>133</v>
      </c>
      <c r="B25" s="22">
        <f>年度运营成本测算明细!G25</f>
        <v>60.2178899082569</v>
      </c>
      <c r="C25" s="29" t="s">
        <v>172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</row>
    <row r="26" s="14" customFormat="1" ht="15" customHeight="1" spans="1:18">
      <c r="A26" s="7" t="s">
        <v>134</v>
      </c>
      <c r="B26" s="22">
        <f>年度运营成本测算明细!G26</f>
        <v>7.00471698113208</v>
      </c>
      <c r="C26" s="7" t="s">
        <v>173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</row>
    <row r="27" s="14" customFormat="1" ht="15" customHeight="1" spans="1:18">
      <c r="A27" s="7" t="s">
        <v>135</v>
      </c>
      <c r="B27" s="22">
        <f>年度运营成本测算明细!G27</f>
        <v>42</v>
      </c>
      <c r="C27" s="7" t="s">
        <v>174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</row>
    <row r="28" s="14" customFormat="1" ht="15" customHeight="1" spans="1:18">
      <c r="A28" s="5" t="s">
        <v>175</v>
      </c>
      <c r="B28" s="22">
        <f>年度运营成本测算明细!G28</f>
        <v>250.732040851653</v>
      </c>
      <c r="C28" s="7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</row>
    <row r="29" s="14" customFormat="1" ht="15" customHeight="1" spans="1:18">
      <c r="A29" s="28" t="s">
        <v>176</v>
      </c>
      <c r="B29" s="22">
        <f>年度运营成本测算明细!G29</f>
        <v>23.242165376493</v>
      </c>
      <c r="C29" s="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</row>
    <row r="30" s="14" customFormat="1" ht="15" customHeight="1" spans="1:18">
      <c r="A30" s="7" t="s">
        <v>177</v>
      </c>
      <c r="B30" s="22">
        <f>年度运营成本测算明细!G30</f>
        <v>3840.83364019041</v>
      </c>
      <c r="C30" s="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</row>
    <row r="31" s="14" customFormat="1" ht="15" customHeight="1" spans="1:18">
      <c r="A31" s="30"/>
      <c r="B31" s="31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</row>
    <row r="32" s="14" customFormat="1" spans="1:18">
      <c r="A32" s="30" t="s">
        <v>178</v>
      </c>
      <c r="B32" s="31">
        <f>(SUM(B9,B15,B18,B28))/(项目预算表!G21-项目预算表!G21*项目预算表!G22-项目预算表!G21*项目预算表!G23)</f>
        <v>18526.5527090185</v>
      </c>
    </row>
    <row r="33" s="14" customFormat="1" spans="1:3">
      <c r="A33" s="30" t="s">
        <v>179</v>
      </c>
      <c r="B33" s="31">
        <f>B32*0.2</f>
        <v>3705.3105418037</v>
      </c>
      <c r="C33" s="18"/>
    </row>
    <row r="34" s="14" customFormat="1" spans="1:3">
      <c r="A34" s="30" t="s">
        <v>180</v>
      </c>
      <c r="B34" s="31">
        <v>20000</v>
      </c>
      <c r="C34" s="18"/>
    </row>
    <row r="35" s="14" customFormat="1" spans="1:3">
      <c r="A35" s="30" t="s">
        <v>54</v>
      </c>
      <c r="B35" s="31">
        <f>B33-B30</f>
        <v>-135.523098386711</v>
      </c>
      <c r="C35" s="18"/>
    </row>
    <row r="36" s="14" customFormat="1" spans="1:3">
      <c r="A36" s="18" t="s">
        <v>181</v>
      </c>
      <c r="B36" s="31">
        <f>B32/(项目预算表!G20*365/1000)</f>
        <v>1268.94196637113</v>
      </c>
      <c r="C36" s="18"/>
    </row>
    <row r="37" s="14" customFormat="1" spans="1:3">
      <c r="A37" s="18"/>
      <c r="B37" s="18"/>
      <c r="C37" s="18"/>
    </row>
    <row r="38" s="14" customFormat="1" spans="1:3">
      <c r="A38" s="18" t="s">
        <v>182</v>
      </c>
      <c r="B38" s="31">
        <v>20000</v>
      </c>
      <c r="C38" s="18"/>
    </row>
    <row r="39" s="14" customFormat="1" spans="1:3">
      <c r="A39" s="18" t="s">
        <v>181</v>
      </c>
      <c r="B39" s="31">
        <f>B38/(项目预算表!G20*365/1000)</f>
        <v>1369.86301369863</v>
      </c>
      <c r="C39" s="18"/>
    </row>
    <row r="40" s="14" customFormat="1" spans="1:3">
      <c r="A40" s="30" t="s">
        <v>54</v>
      </c>
      <c r="B40" s="31">
        <f>B38*0.2-(B30-B22)-B38*项目预算表!G21*(项目预算表!G22+项目预算表!G23)</f>
        <v>168.305982451099</v>
      </c>
      <c r="C40" s="18"/>
    </row>
    <row r="41" s="14" customFormat="1" spans="1:3">
      <c r="A41" s="18"/>
      <c r="B41" s="18"/>
      <c r="C41" s="18"/>
    </row>
    <row r="42" s="14" customFormat="1" spans="1:3">
      <c r="A42" s="18"/>
      <c r="B42" s="18"/>
      <c r="C42" s="18"/>
    </row>
    <row r="43" s="14" customFormat="1" spans="1:3">
      <c r="A43" s="18"/>
      <c r="B43" s="18"/>
      <c r="C43" s="18"/>
    </row>
    <row r="44" s="14" customFormat="1" spans="1:3">
      <c r="A44" s="18"/>
      <c r="B44" s="18"/>
      <c r="C44" s="18"/>
    </row>
    <row r="45" s="14" customFormat="1" spans="1:3">
      <c r="A45" s="18"/>
      <c r="B45" s="18"/>
      <c r="C45" s="18"/>
    </row>
    <row r="46" s="14" customFormat="1" spans="1:3">
      <c r="A46" s="18"/>
      <c r="B46" s="18"/>
      <c r="C46" s="18"/>
    </row>
    <row r="47" s="14" customFormat="1" spans="1:3">
      <c r="A47" s="18"/>
      <c r="B47" s="18"/>
      <c r="C47" s="18"/>
    </row>
    <row r="48" s="14" customFormat="1" spans="1:3">
      <c r="A48" s="18"/>
      <c r="B48" s="18"/>
      <c r="C48" s="18"/>
    </row>
    <row r="49" s="14" customFormat="1" spans="1:3">
      <c r="A49" s="18"/>
      <c r="B49" s="18"/>
      <c r="C49" s="18"/>
    </row>
    <row r="50" s="14" customFormat="1" spans="1:3">
      <c r="A50" s="18"/>
      <c r="B50" s="18"/>
      <c r="C50" s="18"/>
    </row>
    <row r="51" s="14" customFormat="1" spans="1:3">
      <c r="A51" s="18"/>
      <c r="B51" s="18"/>
      <c r="C51" s="18"/>
    </row>
    <row r="52" s="14" customFormat="1" spans="1:3">
      <c r="A52" s="18"/>
      <c r="B52" s="18"/>
      <c r="C52" s="18"/>
    </row>
    <row r="53" s="14" customFormat="1" spans="1:3">
      <c r="A53" s="18"/>
      <c r="B53" s="18"/>
      <c r="C53" s="18"/>
    </row>
    <row r="54" s="14" customFormat="1" spans="1:3">
      <c r="A54" s="18"/>
      <c r="B54" s="18"/>
      <c r="C54" s="18"/>
    </row>
    <row r="55" s="14" customFormat="1" spans="1:3">
      <c r="A55" s="18"/>
      <c r="B55" s="18"/>
      <c r="C55" s="18"/>
    </row>
    <row r="56" s="14" customFormat="1" spans="1:3">
      <c r="A56" s="18"/>
      <c r="B56" s="18"/>
      <c r="C56" s="18"/>
    </row>
    <row r="57" s="14" customFormat="1" spans="1:3">
      <c r="A57" s="18"/>
      <c r="B57" s="18"/>
      <c r="C57" s="18"/>
    </row>
    <row r="58" s="14" customFormat="1" spans="1:3">
      <c r="A58" s="18"/>
      <c r="B58" s="18"/>
      <c r="C58" s="18"/>
    </row>
    <row r="59" s="14" customFormat="1" spans="1:3">
      <c r="A59" s="18"/>
      <c r="B59" s="18"/>
      <c r="C59" s="18"/>
    </row>
    <row r="60" s="14" customFormat="1" spans="1:3">
      <c r="A60" s="18"/>
      <c r="B60" s="18"/>
      <c r="C60" s="18"/>
    </row>
    <row r="61" s="14" customFormat="1" spans="1:3">
      <c r="A61" s="18"/>
      <c r="B61" s="18"/>
      <c r="C61" s="18"/>
    </row>
    <row r="62" s="14" customFormat="1" spans="1:3">
      <c r="A62" s="18"/>
      <c r="B62" s="18"/>
      <c r="C62" s="18"/>
    </row>
    <row r="63" s="14" customFormat="1" spans="1:3">
      <c r="A63" s="18"/>
      <c r="B63" s="18"/>
      <c r="C63" s="18"/>
    </row>
    <row r="64" s="14" customFormat="1" spans="1:3">
      <c r="A64" s="18"/>
      <c r="B64" s="18"/>
      <c r="C64" s="18"/>
    </row>
    <row r="65" s="14" customFormat="1" spans="1:3">
      <c r="A65" s="18"/>
      <c r="B65" s="18"/>
      <c r="C65" s="18"/>
    </row>
    <row r="66" s="14" customFormat="1" spans="1:3">
      <c r="A66" s="18"/>
      <c r="B66" s="18"/>
      <c r="C66" s="18"/>
    </row>
    <row r="67" s="14" customFormat="1" spans="1:3">
      <c r="A67" s="18"/>
      <c r="B67" s="18"/>
      <c r="C67" s="18"/>
    </row>
    <row r="68" s="14" customFormat="1" spans="1:3">
      <c r="A68" s="18"/>
      <c r="B68" s="18"/>
      <c r="C68" s="18"/>
    </row>
    <row r="69" s="14" customFormat="1" spans="1:3">
      <c r="A69" s="18"/>
      <c r="B69" s="18"/>
      <c r="C69" s="18"/>
    </row>
    <row r="70" s="14" customFormat="1" spans="1:3">
      <c r="A70" s="18"/>
      <c r="B70" s="18"/>
      <c r="C70" s="18"/>
    </row>
    <row r="71" s="14" customFormat="1" spans="1:3">
      <c r="A71" s="18"/>
      <c r="B71" s="18"/>
      <c r="C71" s="18"/>
    </row>
    <row r="72" s="14" customFormat="1" spans="1:3">
      <c r="A72" s="18"/>
      <c r="B72" s="18"/>
      <c r="C72" s="18"/>
    </row>
    <row r="73" s="14" customFormat="1" spans="1:3">
      <c r="A73" s="18"/>
      <c r="B73" s="18"/>
      <c r="C73" s="18"/>
    </row>
    <row r="74" s="14" customFormat="1" spans="1:3">
      <c r="A74" s="18"/>
      <c r="B74" s="18"/>
      <c r="C74" s="18"/>
    </row>
    <row r="75" s="14" customFormat="1" spans="1:3">
      <c r="A75" s="18"/>
      <c r="B75" s="18"/>
      <c r="C75" s="18"/>
    </row>
    <row r="76" s="14" customFormat="1" spans="1:3">
      <c r="A76" s="18"/>
      <c r="B76" s="18"/>
      <c r="C76" s="18"/>
    </row>
    <row r="77" s="14" customFormat="1" spans="1:3">
      <c r="A77" s="18"/>
      <c r="B77" s="18"/>
      <c r="C77" s="18"/>
    </row>
    <row r="78" s="14" customFormat="1" spans="1:3">
      <c r="A78" s="18"/>
      <c r="B78" s="18"/>
      <c r="C78" s="18"/>
    </row>
    <row r="79" s="14" customFormat="1" spans="1:3">
      <c r="A79" s="18"/>
      <c r="B79" s="18"/>
      <c r="C79" s="18"/>
    </row>
    <row r="80" s="14" customFormat="1" spans="1:3">
      <c r="A80" s="18"/>
      <c r="B80" s="18"/>
      <c r="C80" s="18"/>
    </row>
    <row r="81" s="14" customFormat="1" spans="1:3">
      <c r="A81" s="18"/>
      <c r="B81" s="18"/>
      <c r="C81" s="18"/>
    </row>
    <row r="82" s="14" customFormat="1" spans="1:3">
      <c r="A82" s="18"/>
      <c r="B82" s="18"/>
      <c r="C82" s="18"/>
    </row>
    <row r="83" s="14" customFormat="1" spans="1:3">
      <c r="A83" s="18"/>
      <c r="B83" s="18"/>
      <c r="C83" s="18"/>
    </row>
    <row r="84" s="14" customFormat="1" spans="1:3">
      <c r="A84" s="18"/>
      <c r="B84" s="18"/>
      <c r="C84" s="18"/>
    </row>
    <row r="85" s="14" customFormat="1" spans="1:3">
      <c r="A85" s="18"/>
      <c r="B85" s="18"/>
      <c r="C85" s="18"/>
    </row>
    <row r="86" s="14" customFormat="1" spans="1:3">
      <c r="A86" s="18"/>
      <c r="B86" s="18"/>
      <c r="C86" s="18"/>
    </row>
    <row r="87" s="14" customFormat="1" spans="1:3">
      <c r="A87" s="18"/>
      <c r="B87" s="18"/>
      <c r="C87" s="18"/>
    </row>
    <row r="88" s="14" customFormat="1" spans="1:3">
      <c r="A88" s="18"/>
      <c r="B88" s="18"/>
      <c r="C88" s="18"/>
    </row>
    <row r="89" s="14" customFormat="1" spans="1:3">
      <c r="A89" s="18"/>
      <c r="B89" s="18"/>
      <c r="C89" s="18"/>
    </row>
    <row r="90" s="14" customFormat="1" spans="1:3">
      <c r="A90" s="18"/>
      <c r="B90" s="18"/>
      <c r="C90" s="18"/>
    </row>
    <row r="91" s="14" customFormat="1" spans="1:3">
      <c r="A91" s="18"/>
      <c r="B91" s="18"/>
      <c r="C91" s="18"/>
    </row>
    <row r="92" s="14" customFormat="1" spans="1:3">
      <c r="A92" s="18"/>
      <c r="B92" s="18"/>
      <c r="C92" s="18"/>
    </row>
    <row r="93" s="14" customFormat="1" spans="1:3">
      <c r="A93" s="18"/>
      <c r="B93" s="18"/>
      <c r="C93" s="18"/>
    </row>
    <row r="94" s="14" customFormat="1" spans="1:3">
      <c r="A94" s="18"/>
      <c r="B94" s="18"/>
      <c r="C94" s="18"/>
    </row>
    <row r="95" s="14" customFormat="1" spans="1:3">
      <c r="A95" s="18"/>
      <c r="B95" s="18"/>
      <c r="C95" s="18"/>
    </row>
    <row r="96" s="14" customFormat="1" spans="1:3">
      <c r="A96" s="18"/>
      <c r="B96" s="18"/>
      <c r="C96" s="18"/>
    </row>
    <row r="97" s="14" customFormat="1" spans="1:3">
      <c r="A97" s="18"/>
      <c r="B97" s="18"/>
      <c r="C97" s="18"/>
    </row>
    <row r="98" s="14" customFormat="1" spans="1:3">
      <c r="A98" s="18"/>
      <c r="B98" s="18"/>
      <c r="C98" s="18"/>
    </row>
    <row r="99" s="14" customFormat="1" spans="1:3">
      <c r="A99" s="18"/>
      <c r="B99" s="18"/>
      <c r="C99" s="18"/>
    </row>
    <row r="100" s="14" customFormat="1" spans="1:3">
      <c r="A100" s="18"/>
      <c r="B100" s="18"/>
      <c r="C100" s="18"/>
    </row>
    <row r="101" s="14" customFormat="1" spans="1:3">
      <c r="A101" s="18"/>
      <c r="B101" s="18"/>
      <c r="C101" s="18"/>
    </row>
    <row r="102" s="14" customFormat="1" spans="1:3">
      <c r="A102" s="18"/>
      <c r="B102" s="18"/>
      <c r="C102" s="18"/>
    </row>
    <row r="103" s="14" customFormat="1" spans="1:3">
      <c r="A103" s="18"/>
      <c r="B103" s="18"/>
      <c r="C103" s="18"/>
    </row>
    <row r="104" s="14" customFormat="1" spans="1:3">
      <c r="A104" s="18"/>
      <c r="B104" s="18"/>
      <c r="C104" s="18"/>
    </row>
    <row r="105" s="14" customFormat="1" spans="1:3">
      <c r="A105" s="18"/>
      <c r="B105" s="18"/>
      <c r="C105" s="18"/>
    </row>
    <row r="106" s="14" customFormat="1" spans="1:3">
      <c r="A106" s="18"/>
      <c r="B106" s="18"/>
      <c r="C106" s="18"/>
    </row>
    <row r="107" s="14" customFormat="1" spans="1:3">
      <c r="A107" s="18"/>
      <c r="B107" s="18"/>
      <c r="C107" s="18"/>
    </row>
    <row r="108" s="14" customFormat="1" spans="1:3">
      <c r="A108" s="18"/>
      <c r="B108" s="18"/>
      <c r="C108" s="18"/>
    </row>
    <row r="109" s="14" customFormat="1" spans="1:3">
      <c r="A109" s="18"/>
      <c r="B109" s="18"/>
      <c r="C109" s="18"/>
    </row>
    <row r="110" s="14" customFormat="1" spans="1:3">
      <c r="A110" s="18"/>
      <c r="B110" s="18"/>
      <c r="C110" s="18"/>
    </row>
    <row r="111" s="14" customFormat="1" spans="1:3">
      <c r="A111" s="18"/>
      <c r="B111" s="18"/>
      <c r="C111" s="18"/>
    </row>
    <row r="112" s="14" customFormat="1" spans="1:3">
      <c r="A112" s="18"/>
      <c r="B112" s="18"/>
      <c r="C112" s="18"/>
    </row>
    <row r="113" s="14" customFormat="1" spans="1:3">
      <c r="A113" s="18"/>
      <c r="B113" s="18"/>
      <c r="C113" s="18"/>
    </row>
    <row r="114" s="14" customFormat="1" spans="1:3">
      <c r="A114" s="18"/>
      <c r="B114" s="18"/>
      <c r="C114" s="18"/>
    </row>
    <row r="115" s="14" customFormat="1" spans="1:3">
      <c r="A115" s="18"/>
      <c r="B115" s="18"/>
      <c r="C115" s="18"/>
    </row>
    <row r="116" s="14" customFormat="1" spans="1:3">
      <c r="A116" s="18"/>
      <c r="B116" s="18"/>
      <c r="C116" s="18"/>
    </row>
    <row r="117" s="14" customFormat="1" spans="1:3">
      <c r="A117" s="18"/>
      <c r="B117" s="18"/>
      <c r="C117" s="18"/>
    </row>
    <row r="118" s="14" customFormat="1" spans="1:3">
      <c r="A118" s="18"/>
      <c r="B118" s="18"/>
      <c r="C118" s="18"/>
    </row>
    <row r="119" s="14" customFormat="1" spans="1:3">
      <c r="A119" s="18"/>
      <c r="B119" s="18"/>
      <c r="C119" s="18"/>
    </row>
    <row r="120" s="14" customFormat="1" spans="1:3">
      <c r="A120" s="18"/>
      <c r="B120" s="18"/>
      <c r="C120" s="18"/>
    </row>
    <row r="121" s="14" customFormat="1" spans="1:3">
      <c r="A121" s="18"/>
      <c r="B121" s="18"/>
      <c r="C121" s="18"/>
    </row>
    <row r="122" s="14" customFormat="1" spans="1:3">
      <c r="A122" s="18"/>
      <c r="B122" s="18"/>
      <c r="C122" s="18"/>
    </row>
    <row r="123" s="14" customFormat="1" spans="1:3">
      <c r="A123" s="18"/>
      <c r="B123" s="18"/>
      <c r="C123" s="18"/>
    </row>
    <row r="124" s="14" customFormat="1" spans="1:3">
      <c r="A124" s="18"/>
      <c r="B124" s="18"/>
      <c r="C124" s="18"/>
    </row>
    <row r="125" s="14" customFormat="1" spans="1:3">
      <c r="A125" s="18"/>
      <c r="B125" s="18"/>
      <c r="C125" s="18"/>
    </row>
    <row r="126" s="14" customFormat="1" spans="1:3">
      <c r="A126" s="18"/>
      <c r="B126" s="18"/>
      <c r="C126" s="18"/>
    </row>
    <row r="127" s="14" customFormat="1" spans="1:3">
      <c r="A127" s="18"/>
      <c r="B127" s="18"/>
      <c r="C127" s="18"/>
    </row>
    <row r="128" s="14" customFormat="1" spans="1:3">
      <c r="A128" s="18"/>
      <c r="B128" s="18"/>
      <c r="C128" s="18"/>
    </row>
    <row r="129" s="14" customFormat="1" spans="1:3">
      <c r="A129" s="18"/>
      <c r="B129" s="18"/>
      <c r="C129" s="18"/>
    </row>
    <row r="130" s="14" customFormat="1" spans="1:3">
      <c r="A130" s="18"/>
      <c r="B130" s="18"/>
      <c r="C130" s="18"/>
    </row>
    <row r="131" s="14" customFormat="1" spans="1:3">
      <c r="A131" s="18"/>
      <c r="B131" s="18"/>
      <c r="C131" s="18"/>
    </row>
    <row r="132" s="14" customFormat="1" spans="1:3">
      <c r="A132" s="18"/>
      <c r="B132" s="18"/>
      <c r="C132" s="18"/>
    </row>
    <row r="133" s="14" customFormat="1" spans="1:3">
      <c r="A133" s="18"/>
      <c r="B133" s="18"/>
      <c r="C133" s="18"/>
    </row>
    <row r="134" s="14" customFormat="1" spans="1:3">
      <c r="A134" s="18"/>
      <c r="B134" s="18"/>
      <c r="C134" s="18"/>
    </row>
    <row r="135" s="14" customFormat="1" spans="1:3">
      <c r="A135" s="18"/>
      <c r="B135" s="18"/>
      <c r="C135" s="18"/>
    </row>
    <row r="136" s="14" customFormat="1" spans="1:3">
      <c r="A136" s="18"/>
      <c r="B136" s="18"/>
      <c r="C136" s="18"/>
    </row>
    <row r="137" s="14" customFormat="1" spans="1:3">
      <c r="A137" s="18"/>
      <c r="B137" s="18"/>
      <c r="C137" s="18"/>
    </row>
    <row r="138" s="14" customFormat="1" spans="1:3">
      <c r="A138" s="18"/>
      <c r="B138" s="18"/>
      <c r="C138" s="18"/>
    </row>
    <row r="139" s="14" customFormat="1" spans="1:3">
      <c r="A139" s="18"/>
      <c r="B139" s="18"/>
      <c r="C139" s="18"/>
    </row>
    <row r="140" s="14" customFormat="1" spans="1:3">
      <c r="A140" s="18"/>
      <c r="B140" s="18"/>
      <c r="C140" s="18"/>
    </row>
    <row r="141" s="14" customFormat="1" spans="1:3">
      <c r="A141" s="18"/>
      <c r="B141" s="18"/>
      <c r="C141" s="18"/>
    </row>
    <row r="142" s="14" customFormat="1" spans="1:3">
      <c r="A142" s="18"/>
      <c r="B142" s="18"/>
      <c r="C142" s="18"/>
    </row>
    <row r="143" s="14" customFormat="1" spans="1:3">
      <c r="A143" s="18"/>
      <c r="B143" s="18"/>
      <c r="C143" s="18"/>
    </row>
    <row r="144" s="14" customFormat="1" spans="1:3">
      <c r="A144" s="18"/>
      <c r="B144" s="18"/>
      <c r="C144" s="18"/>
    </row>
    <row r="145" s="14" customFormat="1" spans="1:3">
      <c r="A145" s="18"/>
      <c r="B145" s="18"/>
      <c r="C145" s="18"/>
    </row>
    <row r="146" s="14" customFormat="1" spans="1:3">
      <c r="A146" s="18"/>
      <c r="B146" s="18"/>
      <c r="C146" s="18"/>
    </row>
    <row r="147" s="14" customFormat="1" spans="1:3">
      <c r="A147" s="18"/>
      <c r="B147" s="18"/>
      <c r="C147" s="18"/>
    </row>
    <row r="148" s="14" customFormat="1" spans="1:3">
      <c r="A148" s="18"/>
      <c r="B148" s="18"/>
      <c r="C148" s="18"/>
    </row>
    <row r="149" s="14" customFormat="1" spans="1:3">
      <c r="A149" s="18"/>
      <c r="B149" s="18"/>
      <c r="C149" s="18"/>
    </row>
    <row r="150" s="14" customFormat="1" spans="1:3">
      <c r="A150" s="18"/>
      <c r="B150" s="18"/>
      <c r="C150" s="18"/>
    </row>
    <row r="151" s="14" customFormat="1" spans="1:3">
      <c r="A151" s="18"/>
      <c r="B151" s="18"/>
      <c r="C151" s="18"/>
    </row>
    <row r="152" s="14" customFormat="1" spans="1:3">
      <c r="A152" s="18"/>
      <c r="B152" s="18"/>
      <c r="C152" s="18"/>
    </row>
    <row r="153" s="14" customFormat="1" spans="1:3">
      <c r="A153" s="18"/>
      <c r="B153" s="18"/>
      <c r="C153" s="18"/>
    </row>
    <row r="154" s="14" customFormat="1" spans="1:3">
      <c r="A154" s="18"/>
      <c r="B154" s="18"/>
      <c r="C154" s="18"/>
    </row>
    <row r="155" s="14" customFormat="1" spans="1:3">
      <c r="A155" s="18"/>
      <c r="B155" s="18"/>
      <c r="C155" s="18"/>
    </row>
    <row r="156" s="14" customFormat="1" spans="1:3">
      <c r="A156" s="18"/>
      <c r="B156" s="18"/>
      <c r="C156" s="18"/>
    </row>
    <row r="157" s="14" customFormat="1" spans="1:3">
      <c r="A157" s="18"/>
      <c r="B157" s="18"/>
      <c r="C157" s="18"/>
    </row>
    <row r="158" s="14" customFormat="1" spans="1:3">
      <c r="A158" s="18"/>
      <c r="B158" s="18"/>
      <c r="C158" s="18"/>
    </row>
    <row r="159" s="14" customFormat="1" spans="1:3">
      <c r="A159" s="18"/>
      <c r="B159" s="18"/>
      <c r="C159" s="18"/>
    </row>
    <row r="160" s="14" customFormat="1" spans="1:3">
      <c r="A160" s="18"/>
      <c r="B160" s="18"/>
      <c r="C160" s="18"/>
    </row>
    <row r="161" s="14" customFormat="1" spans="1:3">
      <c r="A161" s="18"/>
      <c r="B161" s="18"/>
      <c r="C161" s="18"/>
    </row>
    <row r="162" s="14" customFormat="1" spans="1:3">
      <c r="A162" s="18"/>
      <c r="B162" s="18"/>
      <c r="C162" s="18"/>
    </row>
    <row r="163" s="14" customFormat="1" spans="1:3">
      <c r="A163" s="18"/>
      <c r="B163" s="18"/>
      <c r="C163" s="18"/>
    </row>
    <row r="164" s="14" customFormat="1" spans="1:3">
      <c r="A164" s="18"/>
      <c r="B164" s="18"/>
      <c r="C164" s="18"/>
    </row>
    <row r="165" s="14" customFormat="1" spans="1:3">
      <c r="A165" s="18"/>
      <c r="B165" s="18"/>
      <c r="C165" s="18"/>
    </row>
    <row r="166" s="14" customFormat="1" spans="1:3">
      <c r="A166" s="18"/>
      <c r="B166" s="18"/>
      <c r="C166" s="18"/>
    </row>
    <row r="167" s="14" customFormat="1" spans="1:3">
      <c r="A167" s="18"/>
      <c r="B167" s="18"/>
      <c r="C167" s="18"/>
    </row>
    <row r="168" s="14" customFormat="1" spans="1:3">
      <c r="A168" s="18"/>
      <c r="B168" s="18"/>
      <c r="C168" s="18"/>
    </row>
    <row r="169" s="14" customFormat="1" spans="1:3">
      <c r="A169" s="18"/>
      <c r="B169" s="18"/>
      <c r="C169" s="18"/>
    </row>
    <row r="170" s="14" customFormat="1" spans="1:3">
      <c r="A170" s="18"/>
      <c r="B170" s="18"/>
      <c r="C170" s="18"/>
    </row>
    <row r="171" s="14" customFormat="1" spans="1:3">
      <c r="A171" s="18"/>
      <c r="B171" s="18"/>
      <c r="C171" s="18"/>
    </row>
    <row r="172" s="14" customFormat="1" spans="1:3">
      <c r="A172" s="18"/>
      <c r="B172" s="18"/>
      <c r="C172" s="18"/>
    </row>
    <row r="173" s="14" customFormat="1" spans="1:3">
      <c r="A173" s="18"/>
      <c r="B173" s="18"/>
      <c r="C173" s="18"/>
    </row>
    <row r="174" s="14" customFormat="1" spans="1:3">
      <c r="A174" s="18"/>
      <c r="B174" s="18"/>
      <c r="C174" s="18"/>
    </row>
    <row r="175" s="14" customFormat="1" spans="1:3">
      <c r="A175" s="18"/>
      <c r="B175" s="18"/>
      <c r="C175" s="18"/>
    </row>
    <row r="176" s="14" customFormat="1" spans="1:3">
      <c r="A176" s="18"/>
      <c r="B176" s="18"/>
      <c r="C176" s="18"/>
    </row>
    <row r="177" s="14" customFormat="1" spans="1:3">
      <c r="A177" s="18"/>
      <c r="B177" s="18"/>
      <c r="C177" s="18"/>
    </row>
    <row r="178" s="14" customFormat="1" spans="1:3">
      <c r="A178" s="18"/>
      <c r="B178" s="18"/>
      <c r="C178" s="18"/>
    </row>
    <row r="179" s="14" customFormat="1" spans="1:3">
      <c r="A179" s="18"/>
      <c r="B179" s="18"/>
      <c r="C179" s="18"/>
    </row>
    <row r="180" s="14" customFormat="1" spans="1:3">
      <c r="A180" s="18"/>
      <c r="B180" s="18"/>
      <c r="C180" s="18"/>
    </row>
    <row r="181" s="14" customFormat="1" spans="1:3">
      <c r="A181" s="18"/>
      <c r="B181" s="18"/>
      <c r="C181" s="18"/>
    </row>
    <row r="182" s="14" customFormat="1" spans="1:3">
      <c r="A182" s="18"/>
      <c r="B182" s="18"/>
      <c r="C182" s="18"/>
    </row>
    <row r="183" s="14" customFormat="1" spans="1:3">
      <c r="A183" s="18"/>
      <c r="B183" s="18"/>
      <c r="C183" s="18"/>
    </row>
    <row r="184" s="14" customFormat="1" spans="1:3">
      <c r="A184" s="18"/>
      <c r="B184" s="18"/>
      <c r="C184" s="18"/>
    </row>
    <row r="185" s="14" customFormat="1" spans="1:3">
      <c r="A185" s="18"/>
      <c r="B185" s="18"/>
      <c r="C185" s="18"/>
    </row>
    <row r="186" s="14" customFormat="1" spans="1:3">
      <c r="A186" s="18"/>
      <c r="B186" s="18"/>
      <c r="C186" s="18"/>
    </row>
  </sheetData>
  <mergeCells count="4">
    <mergeCell ref="A1:B1"/>
    <mergeCell ref="A2:A3"/>
    <mergeCell ref="B2:B3"/>
    <mergeCell ref="C2:C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>
    <outlinePr summaryBelow="0" summaryRight="0"/>
  </sheetPr>
  <dimension ref="A1:T201"/>
  <sheetViews>
    <sheetView workbookViewId="0">
      <selection activeCell="A22" sqref="A22"/>
    </sheetView>
  </sheetViews>
  <sheetFormatPr defaultColWidth="14" defaultRowHeight="12.75"/>
  <cols>
    <col min="1" max="1" width="36" customWidth="1"/>
    <col min="2" max="4" width="21" customWidth="1"/>
  </cols>
  <sheetData>
    <row r="1" ht="15" customHeight="1" spans="1:20">
      <c r="A1" s="1" t="s">
        <v>198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15" customHeight="1" spans="1:20">
      <c r="A2" s="1" t="s">
        <v>199</v>
      </c>
      <c r="B2" s="1" t="s">
        <v>2</v>
      </c>
      <c r="C2" s="1" t="s">
        <v>3</v>
      </c>
      <c r="D2" s="1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15" customHeight="1" spans="1:20">
      <c r="A3" s="7" t="s">
        <v>200</v>
      </c>
      <c r="B3" s="11"/>
      <c r="C3" s="11"/>
      <c r="D3" s="11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15" customHeight="1" spans="1:20">
      <c r="A4" s="7" t="s">
        <v>201</v>
      </c>
      <c r="B4" s="8" t="e">
        <f>年度运营成本测算明细!#REF!</f>
        <v>#REF!</v>
      </c>
      <c r="C4" s="8" t="e">
        <f>年度运营成本测算明细!#REF!</f>
        <v>#REF!</v>
      </c>
      <c r="D4" s="8" t="e">
        <f>年度运营成本测算明细!#REF!</f>
        <v>#REF!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5" customHeight="1" spans="1:20">
      <c r="A5" s="7" t="s">
        <v>202</v>
      </c>
      <c r="B5" s="12">
        <v>1000</v>
      </c>
      <c r="C5" s="12">
        <v>2000</v>
      </c>
      <c r="D5" s="12">
        <v>3000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15" customHeight="1" spans="1:20">
      <c r="A6" s="5" t="s">
        <v>203</v>
      </c>
      <c r="B6" s="13" t="e">
        <f>SUM(B4:B5)</f>
        <v>#REF!</v>
      </c>
      <c r="C6" s="13" t="e">
        <f>SUM(C4:C5)</f>
        <v>#REF!</v>
      </c>
      <c r="D6" s="13" t="e">
        <f>SUM(D4:D5)</f>
        <v>#REF!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t="15" customHeight="1" spans="1:20">
      <c r="A7" s="7" t="s">
        <v>204</v>
      </c>
      <c r="B7" s="11"/>
      <c r="C7" s="11"/>
      <c r="D7" s="1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ht="15" customHeight="1" spans="1:20">
      <c r="A8" s="7" t="s">
        <v>205</v>
      </c>
      <c r="B8" s="8">
        <f>年度运营成本测算明细!D18</f>
        <v>94.3396226415094</v>
      </c>
      <c r="C8" s="8">
        <f>年度运营成本测算明细!F18</f>
        <v>0</v>
      </c>
      <c r="D8" s="8">
        <f>年度运营成本测算明细!G18</f>
        <v>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ht="15" customHeight="1" spans="1:20">
      <c r="A9" s="7" t="s">
        <v>206</v>
      </c>
      <c r="B9" s="8">
        <f>年度运营成本测算明细!D15</f>
        <v>13.6792452830189</v>
      </c>
      <c r="C9" s="8">
        <f>年度运营成本测算明细!F15</f>
        <v>213.207547169811</v>
      </c>
      <c r="D9" s="8">
        <f>年度运营成本测算明细!G15</f>
        <v>547.169811320755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ht="15" customHeight="1" spans="1:20">
      <c r="A10" s="7" t="s">
        <v>60</v>
      </c>
      <c r="B10" s="8">
        <f>年度运营成本测算明细!D9</f>
        <v>133.75</v>
      </c>
      <c r="C10" s="8">
        <f>年度运营成本测算明细!F9</f>
        <v>928.75</v>
      </c>
      <c r="D10" s="8">
        <f>年度运营成本测算明细!G9</f>
        <v>1610.55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ht="15" customHeight="1" spans="1:20">
      <c r="A11" s="7" t="s">
        <v>61</v>
      </c>
      <c r="B11" s="8">
        <f>年度运营成本测算明细!D22</f>
        <v>0</v>
      </c>
      <c r="C11" s="8">
        <f>年度运营成本测算明细!F22</f>
        <v>274.584905660377</v>
      </c>
      <c r="D11" s="8">
        <f>年度运营成本测算明细!G22</f>
        <v>1409.13962264151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t="15" customHeight="1" spans="1:20">
      <c r="A12" s="7" t="s">
        <v>207</v>
      </c>
      <c r="B12" s="8">
        <f>年度运营成本测算明细!D23</f>
        <v>0</v>
      </c>
      <c r="C12" s="8">
        <f>年度运营成本测算明细!F23</f>
        <v>0</v>
      </c>
      <c r="D12" s="8">
        <f>年度运营成本测算明细!G23</f>
        <v>0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ht="15" customHeight="1" spans="1:20">
      <c r="A13" s="5" t="s">
        <v>208</v>
      </c>
      <c r="B13" s="13">
        <f>SUM(B8:B12)</f>
        <v>241.768867924528</v>
      </c>
      <c r="C13" s="13">
        <f>SUM(C8:C12)</f>
        <v>1416.54245283019</v>
      </c>
      <c r="D13" s="13">
        <f>SUM(D8:D12)</f>
        <v>3566.85943396226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ht="15" customHeight="1" spans="1:20">
      <c r="A14" s="7" t="s">
        <v>209</v>
      </c>
      <c r="B14" s="8" t="e">
        <f>B6-B13</f>
        <v>#REF!</v>
      </c>
      <c r="C14" s="8" t="e">
        <f>C6-C13</f>
        <v>#REF!</v>
      </c>
      <c r="D14" s="8" t="e">
        <f>D6-D13</f>
        <v>#REF!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ht="15" customHeight="1" spans="1:20">
      <c r="A15" s="7" t="s">
        <v>11</v>
      </c>
      <c r="B15" s="10" t="e">
        <f>IF(B6=0,0,B14/B6)</f>
        <v>#REF!</v>
      </c>
      <c r="C15" s="10" t="e">
        <f>IF(C6=0,0,C14/C6)</f>
        <v>#REF!</v>
      </c>
      <c r="D15" s="10" t="e">
        <f>IF(D6=0,0,D14/D6)</f>
        <v>#REF!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ht="15" customHeight="1" spans="1:20">
      <c r="A16" s="7" t="s">
        <v>210</v>
      </c>
      <c r="B16" s="11"/>
      <c r="C16" s="11"/>
      <c r="D16" s="11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ht="15" customHeight="1" spans="1:20">
      <c r="A17" s="7" t="s">
        <v>211</v>
      </c>
      <c r="B17" s="8">
        <v>10</v>
      </c>
      <c r="C17" s="8">
        <v>15</v>
      </c>
      <c r="D17" s="8">
        <v>20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ht="15" customHeight="1" spans="1:20">
      <c r="A18" s="7" t="s">
        <v>212</v>
      </c>
      <c r="B18" s="8">
        <v>20</v>
      </c>
      <c r="C18" s="8">
        <v>30</v>
      </c>
      <c r="D18" s="8">
        <v>50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ht="15" customHeight="1" spans="1:20">
      <c r="A19" s="7" t="s">
        <v>213</v>
      </c>
      <c r="B19" s="8">
        <v>0</v>
      </c>
      <c r="C19" s="8">
        <v>50</v>
      </c>
      <c r="D19" s="8">
        <v>100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15" customHeight="1" spans="1:20">
      <c r="A20" s="5" t="s">
        <v>214</v>
      </c>
      <c r="B20" s="13">
        <f>SUM(B17:B19)</f>
        <v>30</v>
      </c>
      <c r="C20" s="13">
        <f>SUM(C17:C19)</f>
        <v>95</v>
      </c>
      <c r="D20" s="13">
        <f>SUM(D17:D19)</f>
        <v>170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ht="15" customHeight="1" spans="1:20">
      <c r="A21" s="5" t="s">
        <v>215</v>
      </c>
      <c r="B21" s="13" t="e">
        <f>B14-B20</f>
        <v>#REF!</v>
      </c>
      <c r="C21" s="13" t="e">
        <f>C14-C20</f>
        <v>#REF!</v>
      </c>
      <c r="D21" s="13" t="e">
        <f>D14-D20</f>
        <v>#REF!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</row>
    <row r="22" ht="15" customHeight="1" spans="1:20">
      <c r="A22" s="7" t="s">
        <v>216</v>
      </c>
      <c r="B22" s="8" t="e">
        <f>MAX(B21*0.25,0)</f>
        <v>#REF!</v>
      </c>
      <c r="C22" s="8" t="e">
        <f>MAX(C21*0.25,0)</f>
        <v>#REF!</v>
      </c>
      <c r="D22" s="8" t="e">
        <f>MAX(D21*0.25,0)</f>
        <v>#REF!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  <row r="23" ht="15" customHeight="1" spans="1:20">
      <c r="A23" s="5" t="s">
        <v>217</v>
      </c>
      <c r="B23" s="13" t="e">
        <f>B21-B22</f>
        <v>#REF!</v>
      </c>
      <c r="C23" s="13" t="e">
        <f>C21-C22</f>
        <v>#REF!</v>
      </c>
      <c r="D23" s="13" t="e">
        <f>D21-D22</f>
        <v>#REF!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24" ht="15" customHeight="1" spans="1:20">
      <c r="A24" s="7" t="s">
        <v>12</v>
      </c>
      <c r="B24" s="10" t="e">
        <f>IF(B6=0,0,B23/B6)</f>
        <v>#REF!</v>
      </c>
      <c r="C24" s="10" t="e">
        <f>IF(C6=0,0,C23/C6)</f>
        <v>#REF!</v>
      </c>
      <c r="D24" s="10" t="e">
        <f>IF(D6=0,0,D23/D6)</f>
        <v>#REF!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ht="15" customHeight="1" spans="1:20">
      <c r="A25" s="5" t="s">
        <v>218</v>
      </c>
      <c r="B25" s="13" t="e">
        <f>B23</f>
        <v>#REF!</v>
      </c>
      <c r="C25" s="13" t="e">
        <f>B25+C23</f>
        <v>#REF!</v>
      </c>
      <c r="D25" s="13" t="e">
        <f>C25+D23</f>
        <v>#REF!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1:20">
      <c r="A26" s="4"/>
      <c r="B26" s="4"/>
      <c r="C26" s="4"/>
      <c r="D26" s="4"/>
    </row>
    <row r="27" spans="1:20">
      <c r="A27" s="4"/>
      <c r="B27" s="4"/>
      <c r="C27" s="4"/>
      <c r="D27" s="4"/>
    </row>
    <row r="28" spans="1:20">
      <c r="A28" s="4"/>
      <c r="B28" s="4"/>
      <c r="C28" s="4"/>
      <c r="D28" s="4"/>
    </row>
    <row r="29" spans="1:20">
      <c r="A29" s="4"/>
      <c r="B29" s="4"/>
      <c r="C29" s="4"/>
      <c r="D29" s="4"/>
    </row>
    <row r="30" spans="1:20">
      <c r="A30" s="4"/>
      <c r="B30" s="4"/>
      <c r="C30" s="4"/>
      <c r="D30" s="4"/>
    </row>
    <row r="31" spans="1:20">
      <c r="A31" s="4"/>
      <c r="B31" s="4"/>
      <c r="C31" s="4"/>
      <c r="D31" s="4"/>
    </row>
    <row r="32" spans="1:20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  <row r="53" spans="1:4">
      <c r="A53" s="4"/>
      <c r="B53" s="4"/>
      <c r="C53" s="4"/>
      <c r="D53" s="4"/>
    </row>
    <row r="54" spans="1:4">
      <c r="A54" s="4"/>
      <c r="B54" s="4"/>
      <c r="C54" s="4"/>
      <c r="D54" s="4"/>
    </row>
    <row r="55" spans="1:4">
      <c r="A55" s="4"/>
      <c r="B55" s="4"/>
      <c r="C55" s="4"/>
      <c r="D55" s="4"/>
    </row>
    <row r="56" spans="1:4">
      <c r="A56" s="4"/>
      <c r="B56" s="4"/>
      <c r="C56" s="4"/>
      <c r="D56" s="4"/>
    </row>
    <row r="57" spans="1:4">
      <c r="A57" s="4"/>
      <c r="B57" s="4"/>
      <c r="C57" s="4"/>
      <c r="D57" s="4"/>
    </row>
    <row r="58" spans="1:4">
      <c r="A58" s="4"/>
      <c r="B58" s="4"/>
      <c r="C58" s="4"/>
      <c r="D58" s="4"/>
    </row>
    <row r="59" spans="1:4">
      <c r="A59" s="4"/>
      <c r="B59" s="4"/>
      <c r="C59" s="4"/>
      <c r="D59" s="4"/>
    </row>
    <row r="60" spans="1:4">
      <c r="A60" s="4"/>
      <c r="B60" s="4"/>
      <c r="C60" s="4"/>
      <c r="D60" s="4"/>
    </row>
    <row r="61" spans="1:4">
      <c r="A61" s="4"/>
      <c r="B61" s="4"/>
      <c r="C61" s="4"/>
      <c r="D61" s="4"/>
    </row>
    <row r="62" spans="1:4">
      <c r="A62" s="4"/>
      <c r="B62" s="4"/>
      <c r="C62" s="4"/>
      <c r="D62" s="4"/>
    </row>
    <row r="63" spans="1:4">
      <c r="A63" s="4"/>
      <c r="B63" s="4"/>
      <c r="C63" s="4"/>
      <c r="D63" s="4"/>
    </row>
    <row r="64" spans="1:4">
      <c r="A64" s="4"/>
      <c r="B64" s="4"/>
      <c r="C64" s="4"/>
      <c r="D64" s="4"/>
    </row>
    <row r="65" spans="1:4">
      <c r="A65" s="4"/>
      <c r="B65" s="4"/>
      <c r="C65" s="4"/>
      <c r="D65" s="4"/>
    </row>
    <row r="66" spans="1:4">
      <c r="A66" s="4"/>
      <c r="B66" s="4"/>
      <c r="C66" s="4"/>
      <c r="D66" s="4"/>
    </row>
    <row r="67" spans="1:4">
      <c r="A67" s="4"/>
      <c r="B67" s="4"/>
      <c r="C67" s="4"/>
      <c r="D67" s="4"/>
    </row>
    <row r="68" spans="1:4">
      <c r="A68" s="4"/>
      <c r="B68" s="4"/>
      <c r="C68" s="4"/>
      <c r="D68" s="4"/>
    </row>
    <row r="69" spans="1:4">
      <c r="A69" s="4"/>
      <c r="B69" s="4"/>
      <c r="C69" s="4"/>
      <c r="D69" s="4"/>
    </row>
    <row r="70" spans="1:4">
      <c r="A70" s="4"/>
      <c r="B70" s="4"/>
      <c r="C70" s="4"/>
      <c r="D70" s="4"/>
    </row>
    <row r="71" spans="1:4">
      <c r="A71" s="4"/>
      <c r="B71" s="4"/>
      <c r="C71" s="4"/>
      <c r="D71" s="4"/>
    </row>
    <row r="72" spans="1:4">
      <c r="A72" s="4"/>
      <c r="B72" s="4"/>
      <c r="C72" s="4"/>
      <c r="D72" s="4"/>
    </row>
    <row r="73" spans="1:4">
      <c r="A73" s="4"/>
      <c r="B73" s="4"/>
      <c r="C73" s="4"/>
      <c r="D73" s="4"/>
    </row>
    <row r="74" spans="1:4">
      <c r="A74" s="4"/>
      <c r="B74" s="4"/>
      <c r="C74" s="4"/>
      <c r="D74" s="4"/>
    </row>
    <row r="75" spans="1:4">
      <c r="A75" s="4"/>
      <c r="B75" s="4"/>
      <c r="C75" s="4"/>
      <c r="D75" s="4"/>
    </row>
    <row r="76" spans="1:4">
      <c r="A76" s="4"/>
      <c r="B76" s="4"/>
      <c r="C76" s="4"/>
      <c r="D76" s="4"/>
    </row>
    <row r="77" spans="1:4">
      <c r="A77" s="4"/>
      <c r="B77" s="4"/>
      <c r="C77" s="4"/>
      <c r="D77" s="4"/>
    </row>
    <row r="78" spans="1:4">
      <c r="A78" s="4"/>
      <c r="B78" s="4"/>
      <c r="C78" s="4"/>
      <c r="D78" s="4"/>
    </row>
    <row r="79" spans="1:4">
      <c r="A79" s="4"/>
      <c r="B79" s="4"/>
      <c r="C79" s="4"/>
      <c r="D79" s="4"/>
    </row>
    <row r="80" spans="1:4">
      <c r="A80" s="4"/>
      <c r="B80" s="4"/>
      <c r="C80" s="4"/>
      <c r="D80" s="4"/>
    </row>
    <row r="81" spans="1:4">
      <c r="A81" s="4"/>
      <c r="B81" s="4"/>
      <c r="C81" s="4"/>
      <c r="D81" s="4"/>
    </row>
    <row r="82" spans="1:4">
      <c r="A82" s="4"/>
      <c r="B82" s="4"/>
      <c r="C82" s="4"/>
      <c r="D82" s="4"/>
    </row>
    <row r="83" spans="1:4">
      <c r="A83" s="4"/>
      <c r="B83" s="4"/>
      <c r="C83" s="4"/>
      <c r="D83" s="4"/>
    </row>
    <row r="84" spans="1:4">
      <c r="A84" s="4"/>
      <c r="B84" s="4"/>
      <c r="C84" s="4"/>
      <c r="D84" s="4"/>
    </row>
    <row r="85" spans="1:4">
      <c r="A85" s="4"/>
      <c r="B85" s="4"/>
      <c r="C85" s="4"/>
      <c r="D85" s="4"/>
    </row>
    <row r="86" spans="1:4">
      <c r="A86" s="4"/>
      <c r="B86" s="4"/>
      <c r="C86" s="4"/>
      <c r="D86" s="4"/>
    </row>
    <row r="87" spans="1:4">
      <c r="A87" s="4"/>
      <c r="B87" s="4"/>
      <c r="C87" s="4"/>
      <c r="D87" s="4"/>
    </row>
    <row r="88" spans="1:4">
      <c r="A88" s="4"/>
      <c r="B88" s="4"/>
      <c r="C88" s="4"/>
      <c r="D88" s="4"/>
    </row>
    <row r="89" spans="1:4">
      <c r="A89" s="4"/>
      <c r="B89" s="4"/>
      <c r="C89" s="4"/>
      <c r="D89" s="4"/>
    </row>
    <row r="90" spans="1:4">
      <c r="A90" s="4"/>
      <c r="B90" s="4"/>
      <c r="C90" s="4"/>
      <c r="D90" s="4"/>
    </row>
    <row r="91" spans="1:4">
      <c r="A91" s="4"/>
      <c r="B91" s="4"/>
      <c r="C91" s="4"/>
      <c r="D91" s="4"/>
    </row>
    <row r="92" spans="1:4">
      <c r="A92" s="4"/>
      <c r="B92" s="4"/>
      <c r="C92" s="4"/>
      <c r="D92" s="4"/>
    </row>
    <row r="93" spans="1:4">
      <c r="A93" s="4"/>
      <c r="B93" s="4"/>
      <c r="C93" s="4"/>
      <c r="D93" s="4"/>
    </row>
    <row r="94" spans="1:4">
      <c r="A94" s="4"/>
      <c r="B94" s="4"/>
      <c r="C94" s="4"/>
      <c r="D94" s="4"/>
    </row>
    <row r="95" spans="1:4">
      <c r="A95" s="4"/>
      <c r="B95" s="4"/>
      <c r="C95" s="4"/>
      <c r="D95" s="4"/>
    </row>
    <row r="96" spans="1:4">
      <c r="A96" s="4"/>
      <c r="B96" s="4"/>
      <c r="C96" s="4"/>
      <c r="D96" s="4"/>
    </row>
    <row r="97" spans="1:4">
      <c r="A97" s="4"/>
      <c r="B97" s="4"/>
      <c r="C97" s="4"/>
      <c r="D97" s="4"/>
    </row>
    <row r="98" spans="1:4">
      <c r="A98" s="4"/>
      <c r="B98" s="4"/>
      <c r="C98" s="4"/>
      <c r="D98" s="4"/>
    </row>
    <row r="99" spans="1:4">
      <c r="A99" s="4"/>
      <c r="B99" s="4"/>
      <c r="C99" s="4"/>
      <c r="D99" s="4"/>
    </row>
    <row r="100" spans="1:4">
      <c r="A100" s="4"/>
      <c r="B100" s="4"/>
      <c r="C100" s="4"/>
      <c r="D100" s="4"/>
    </row>
    <row r="101" spans="1:4">
      <c r="A101" s="4"/>
      <c r="B101" s="4"/>
      <c r="C101" s="4"/>
      <c r="D101" s="4"/>
    </row>
    <row r="102" spans="1:4">
      <c r="A102" s="4"/>
      <c r="B102" s="4"/>
      <c r="C102" s="4"/>
      <c r="D102" s="4"/>
    </row>
    <row r="103" spans="1:4">
      <c r="A103" s="4"/>
      <c r="B103" s="4"/>
      <c r="C103" s="4"/>
      <c r="D103" s="4"/>
    </row>
    <row r="104" spans="1:4">
      <c r="A104" s="4"/>
      <c r="B104" s="4"/>
      <c r="C104" s="4"/>
      <c r="D104" s="4"/>
    </row>
    <row r="105" spans="1:4">
      <c r="A105" s="4"/>
      <c r="B105" s="4"/>
      <c r="C105" s="4"/>
      <c r="D105" s="4"/>
    </row>
    <row r="106" spans="1:4">
      <c r="A106" s="4"/>
      <c r="B106" s="4"/>
      <c r="C106" s="4"/>
      <c r="D106" s="4"/>
    </row>
    <row r="107" spans="1:4">
      <c r="A107" s="4"/>
      <c r="B107" s="4"/>
      <c r="C107" s="4"/>
      <c r="D107" s="4"/>
    </row>
    <row r="108" spans="1:4">
      <c r="A108" s="4"/>
      <c r="B108" s="4"/>
      <c r="C108" s="4"/>
      <c r="D108" s="4"/>
    </row>
    <row r="109" spans="1:4">
      <c r="A109" s="4"/>
      <c r="B109" s="4"/>
      <c r="C109" s="4"/>
      <c r="D109" s="4"/>
    </row>
    <row r="110" spans="1:4">
      <c r="A110" s="4"/>
      <c r="B110" s="4"/>
      <c r="C110" s="4"/>
      <c r="D110" s="4"/>
    </row>
    <row r="111" spans="1:4">
      <c r="A111" s="4"/>
      <c r="B111" s="4"/>
      <c r="C111" s="4"/>
      <c r="D111" s="4"/>
    </row>
    <row r="112" spans="1:4">
      <c r="A112" s="4"/>
      <c r="B112" s="4"/>
      <c r="C112" s="4"/>
      <c r="D112" s="4"/>
    </row>
    <row r="113" spans="1:4">
      <c r="A113" s="4"/>
      <c r="B113" s="4"/>
      <c r="C113" s="4"/>
      <c r="D113" s="4"/>
    </row>
    <row r="114" spans="1:4">
      <c r="A114" s="4"/>
      <c r="B114" s="4"/>
      <c r="C114" s="4"/>
      <c r="D114" s="4"/>
    </row>
    <row r="115" spans="1:4">
      <c r="A115" s="4"/>
      <c r="B115" s="4"/>
      <c r="C115" s="4"/>
      <c r="D115" s="4"/>
    </row>
    <row r="116" spans="1:4">
      <c r="A116" s="4"/>
      <c r="B116" s="4"/>
      <c r="C116" s="4"/>
      <c r="D116" s="4"/>
    </row>
    <row r="117" spans="1:4">
      <c r="A117" s="4"/>
      <c r="B117" s="4"/>
      <c r="C117" s="4"/>
      <c r="D117" s="4"/>
    </row>
    <row r="118" spans="1:4">
      <c r="A118" s="4"/>
      <c r="B118" s="4"/>
      <c r="C118" s="4"/>
      <c r="D118" s="4"/>
    </row>
    <row r="119" spans="1:4">
      <c r="A119" s="4"/>
      <c r="B119" s="4"/>
      <c r="C119" s="4"/>
      <c r="D119" s="4"/>
    </row>
    <row r="120" spans="1:4">
      <c r="A120" s="4"/>
      <c r="B120" s="4"/>
      <c r="C120" s="4"/>
      <c r="D120" s="4"/>
    </row>
    <row r="121" spans="1:4">
      <c r="A121" s="4"/>
      <c r="B121" s="4"/>
      <c r="C121" s="4"/>
      <c r="D121" s="4"/>
    </row>
    <row r="122" spans="1:4">
      <c r="A122" s="4"/>
      <c r="B122" s="4"/>
      <c r="C122" s="4"/>
      <c r="D122" s="4"/>
    </row>
    <row r="123" spans="1:4">
      <c r="A123" s="4"/>
      <c r="B123" s="4"/>
      <c r="C123" s="4"/>
      <c r="D123" s="4"/>
    </row>
    <row r="124" spans="1:4">
      <c r="A124" s="4"/>
      <c r="B124" s="4"/>
      <c r="C124" s="4"/>
      <c r="D124" s="4"/>
    </row>
    <row r="125" spans="1:4">
      <c r="A125" s="4"/>
      <c r="B125" s="4"/>
      <c r="C125" s="4"/>
      <c r="D125" s="4"/>
    </row>
    <row r="126" spans="1:4">
      <c r="A126" s="4"/>
      <c r="B126" s="4"/>
      <c r="C126" s="4"/>
      <c r="D126" s="4"/>
    </row>
    <row r="127" spans="1:4">
      <c r="A127" s="4"/>
      <c r="B127" s="4"/>
      <c r="C127" s="4"/>
      <c r="D127" s="4"/>
    </row>
    <row r="128" spans="1:4">
      <c r="A128" s="4"/>
      <c r="B128" s="4"/>
      <c r="C128" s="4"/>
      <c r="D128" s="4"/>
    </row>
    <row r="129" spans="1:4">
      <c r="A129" s="4"/>
      <c r="B129" s="4"/>
      <c r="C129" s="4"/>
      <c r="D129" s="4"/>
    </row>
    <row r="130" spans="1:4">
      <c r="A130" s="4"/>
      <c r="B130" s="4"/>
      <c r="C130" s="4"/>
      <c r="D130" s="4"/>
    </row>
    <row r="131" spans="1:4">
      <c r="A131" s="4"/>
      <c r="B131" s="4"/>
      <c r="C131" s="4"/>
      <c r="D131" s="4"/>
    </row>
    <row r="132" spans="1:4">
      <c r="A132" s="4"/>
      <c r="B132" s="4"/>
      <c r="C132" s="4"/>
      <c r="D132" s="4"/>
    </row>
    <row r="133" spans="1:4">
      <c r="A133" s="4"/>
      <c r="B133" s="4"/>
      <c r="C133" s="4"/>
      <c r="D133" s="4"/>
    </row>
    <row r="134" spans="1:4">
      <c r="A134" s="4"/>
      <c r="B134" s="4"/>
      <c r="C134" s="4"/>
      <c r="D134" s="4"/>
    </row>
    <row r="135" spans="1:4">
      <c r="A135" s="4"/>
      <c r="B135" s="4"/>
      <c r="C135" s="4"/>
      <c r="D135" s="4"/>
    </row>
    <row r="136" spans="1:4">
      <c r="A136" s="4"/>
      <c r="B136" s="4"/>
      <c r="C136" s="4"/>
      <c r="D136" s="4"/>
    </row>
    <row r="137" spans="1:4">
      <c r="A137" s="4"/>
      <c r="B137" s="4"/>
      <c r="C137" s="4"/>
      <c r="D137" s="4"/>
    </row>
    <row r="138" spans="1:4">
      <c r="A138" s="4"/>
      <c r="B138" s="4"/>
      <c r="C138" s="4"/>
      <c r="D138" s="4"/>
    </row>
    <row r="139" spans="1:4">
      <c r="A139" s="4"/>
      <c r="B139" s="4"/>
      <c r="C139" s="4"/>
      <c r="D139" s="4"/>
    </row>
    <row r="140" spans="1:4">
      <c r="A140" s="4"/>
      <c r="B140" s="4"/>
      <c r="C140" s="4"/>
      <c r="D140" s="4"/>
    </row>
    <row r="141" spans="1:4">
      <c r="A141" s="4"/>
      <c r="B141" s="4"/>
      <c r="C141" s="4"/>
      <c r="D141" s="4"/>
    </row>
    <row r="142" spans="1:4">
      <c r="A142" s="4"/>
      <c r="B142" s="4"/>
      <c r="C142" s="4"/>
      <c r="D142" s="4"/>
    </row>
    <row r="143" spans="1:4">
      <c r="A143" s="4"/>
      <c r="B143" s="4"/>
      <c r="C143" s="4"/>
      <c r="D143" s="4"/>
    </row>
    <row r="144" spans="1:4">
      <c r="A144" s="4"/>
      <c r="B144" s="4"/>
      <c r="C144" s="4"/>
      <c r="D144" s="4"/>
    </row>
    <row r="145" spans="1:4">
      <c r="A145" s="4"/>
      <c r="B145" s="4"/>
      <c r="C145" s="4"/>
      <c r="D145" s="4"/>
    </row>
    <row r="146" spans="1:4">
      <c r="A146" s="4"/>
      <c r="B146" s="4"/>
      <c r="C146" s="4"/>
      <c r="D146" s="4"/>
    </row>
    <row r="147" spans="1:4">
      <c r="A147" s="4"/>
      <c r="B147" s="4"/>
      <c r="C147" s="4"/>
      <c r="D147" s="4"/>
    </row>
    <row r="148" spans="1:4">
      <c r="A148" s="4"/>
      <c r="B148" s="4"/>
      <c r="C148" s="4"/>
      <c r="D148" s="4"/>
    </row>
    <row r="149" spans="1:4">
      <c r="A149" s="4"/>
      <c r="B149" s="4"/>
      <c r="C149" s="4"/>
      <c r="D149" s="4"/>
    </row>
    <row r="150" spans="1:4">
      <c r="A150" s="4"/>
      <c r="B150" s="4"/>
      <c r="C150" s="4"/>
      <c r="D150" s="4"/>
    </row>
    <row r="151" spans="1:4">
      <c r="A151" s="4"/>
      <c r="B151" s="4"/>
      <c r="C151" s="4"/>
      <c r="D151" s="4"/>
    </row>
    <row r="152" spans="1:4">
      <c r="A152" s="4"/>
      <c r="B152" s="4"/>
      <c r="C152" s="4"/>
      <c r="D152" s="4"/>
    </row>
    <row r="153" spans="1:4">
      <c r="A153" s="4"/>
      <c r="B153" s="4"/>
      <c r="C153" s="4"/>
      <c r="D153" s="4"/>
    </row>
    <row r="154" spans="1:4">
      <c r="A154" s="4"/>
      <c r="B154" s="4"/>
      <c r="C154" s="4"/>
      <c r="D154" s="4"/>
    </row>
    <row r="155" spans="1:4">
      <c r="A155" s="4"/>
      <c r="B155" s="4"/>
      <c r="C155" s="4"/>
      <c r="D155" s="4"/>
    </row>
    <row r="156" spans="1:4">
      <c r="A156" s="4"/>
      <c r="B156" s="4"/>
      <c r="C156" s="4"/>
      <c r="D156" s="4"/>
    </row>
    <row r="157" spans="1:4">
      <c r="A157" s="4"/>
      <c r="B157" s="4"/>
      <c r="C157" s="4"/>
      <c r="D157" s="4"/>
    </row>
    <row r="158" spans="1:4">
      <c r="A158" s="4"/>
      <c r="B158" s="4"/>
      <c r="C158" s="4"/>
      <c r="D158" s="4"/>
    </row>
    <row r="159" spans="1:4">
      <c r="A159" s="4"/>
      <c r="B159" s="4"/>
      <c r="C159" s="4"/>
      <c r="D159" s="4"/>
    </row>
    <row r="160" spans="1:4">
      <c r="A160" s="4"/>
      <c r="B160" s="4"/>
      <c r="C160" s="4"/>
      <c r="D160" s="4"/>
    </row>
    <row r="161" spans="1:4">
      <c r="A161" s="4"/>
      <c r="B161" s="4"/>
      <c r="C161" s="4"/>
      <c r="D161" s="4"/>
    </row>
    <row r="162" spans="1:4">
      <c r="A162" s="4"/>
      <c r="B162" s="4"/>
      <c r="C162" s="4"/>
      <c r="D162" s="4"/>
    </row>
    <row r="163" spans="1:4">
      <c r="A163" s="4"/>
      <c r="B163" s="4"/>
      <c r="C163" s="4"/>
      <c r="D163" s="4"/>
    </row>
    <row r="164" spans="1:4">
      <c r="A164" s="4"/>
      <c r="B164" s="4"/>
      <c r="C164" s="4"/>
      <c r="D164" s="4"/>
    </row>
    <row r="165" spans="1:4">
      <c r="A165" s="4"/>
      <c r="B165" s="4"/>
      <c r="C165" s="4"/>
      <c r="D165" s="4"/>
    </row>
    <row r="166" spans="1:4">
      <c r="A166" s="4"/>
      <c r="B166" s="4"/>
      <c r="C166" s="4"/>
      <c r="D166" s="4"/>
    </row>
    <row r="167" spans="1:4">
      <c r="A167" s="4"/>
      <c r="B167" s="4"/>
      <c r="C167" s="4"/>
      <c r="D167" s="4"/>
    </row>
    <row r="168" spans="1:4">
      <c r="A168" s="4"/>
      <c r="B168" s="4"/>
      <c r="C168" s="4"/>
      <c r="D168" s="4"/>
    </row>
    <row r="169" spans="1:4">
      <c r="A169" s="4"/>
      <c r="B169" s="4"/>
      <c r="C169" s="4"/>
      <c r="D169" s="4"/>
    </row>
    <row r="170" spans="1:4">
      <c r="A170" s="4"/>
      <c r="B170" s="4"/>
      <c r="C170" s="4"/>
      <c r="D170" s="4"/>
    </row>
    <row r="171" spans="1:4">
      <c r="A171" s="4"/>
      <c r="B171" s="4"/>
      <c r="C171" s="4"/>
      <c r="D171" s="4"/>
    </row>
    <row r="172" spans="1:4">
      <c r="A172" s="4"/>
      <c r="B172" s="4"/>
      <c r="C172" s="4"/>
      <c r="D172" s="4"/>
    </row>
    <row r="173" spans="1:4">
      <c r="A173" s="4"/>
      <c r="B173" s="4"/>
      <c r="C173" s="4"/>
      <c r="D173" s="4"/>
    </row>
    <row r="174" spans="1:4">
      <c r="A174" s="4"/>
      <c r="B174" s="4"/>
      <c r="C174" s="4"/>
      <c r="D174" s="4"/>
    </row>
    <row r="175" spans="1:4">
      <c r="A175" s="4"/>
      <c r="B175" s="4"/>
      <c r="C175" s="4"/>
      <c r="D175" s="4"/>
    </row>
    <row r="176" spans="1:4">
      <c r="A176" s="4"/>
      <c r="B176" s="4"/>
      <c r="C176" s="4"/>
      <c r="D176" s="4"/>
    </row>
    <row r="177" spans="1:4">
      <c r="A177" s="4"/>
      <c r="B177" s="4"/>
      <c r="C177" s="4"/>
      <c r="D177" s="4"/>
    </row>
    <row r="178" spans="1:4">
      <c r="A178" s="4"/>
      <c r="B178" s="4"/>
      <c r="C178" s="4"/>
      <c r="D178" s="4"/>
    </row>
    <row r="179" spans="1:4">
      <c r="A179" s="4"/>
      <c r="B179" s="4"/>
      <c r="C179" s="4"/>
      <c r="D179" s="4"/>
    </row>
    <row r="180" spans="1:4">
      <c r="A180" s="4"/>
      <c r="B180" s="4"/>
      <c r="C180" s="4"/>
      <c r="D180" s="4"/>
    </row>
    <row r="181" spans="1:4">
      <c r="A181" s="4"/>
      <c r="B181" s="4"/>
      <c r="C181" s="4"/>
      <c r="D181" s="4"/>
    </row>
    <row r="182" spans="1:4">
      <c r="A182" s="4"/>
      <c r="B182" s="4"/>
      <c r="C182" s="4"/>
      <c r="D182" s="4"/>
    </row>
    <row r="183" spans="1:4">
      <c r="A183" s="4"/>
      <c r="B183" s="4"/>
      <c r="C183" s="4"/>
      <c r="D183" s="4"/>
    </row>
    <row r="184" spans="1:4">
      <c r="A184" s="4"/>
      <c r="B184" s="4"/>
      <c r="C184" s="4"/>
      <c r="D184" s="4"/>
    </row>
    <row r="185" spans="1:4">
      <c r="A185" s="4"/>
      <c r="B185" s="4"/>
      <c r="C185" s="4"/>
      <c r="D185" s="4"/>
    </row>
    <row r="186" spans="1:4">
      <c r="A186" s="4"/>
      <c r="B186" s="4"/>
      <c r="C186" s="4"/>
      <c r="D186" s="4"/>
    </row>
    <row r="187" spans="1:4">
      <c r="A187" s="4"/>
      <c r="B187" s="4"/>
      <c r="C187" s="4"/>
      <c r="D187" s="4"/>
    </row>
    <row r="188" spans="1:4">
      <c r="A188" s="4"/>
      <c r="B188" s="4"/>
      <c r="C188" s="4"/>
      <c r="D188" s="4"/>
    </row>
    <row r="189" spans="1:4">
      <c r="A189" s="4"/>
      <c r="B189" s="4"/>
      <c r="C189" s="4"/>
      <c r="D189" s="4"/>
    </row>
    <row r="190" spans="1:4">
      <c r="A190" s="4"/>
      <c r="B190" s="4"/>
      <c r="C190" s="4"/>
      <c r="D190" s="4"/>
    </row>
    <row r="191" spans="1:4">
      <c r="A191" s="4"/>
      <c r="B191" s="4"/>
      <c r="C191" s="4"/>
      <c r="D191" s="4"/>
    </row>
    <row r="192" spans="1:4">
      <c r="A192" s="4"/>
      <c r="B192" s="4"/>
      <c r="C192" s="4"/>
      <c r="D192" s="4"/>
    </row>
    <row r="193" spans="1:4">
      <c r="A193" s="4"/>
      <c r="B193" s="4"/>
      <c r="C193" s="4"/>
      <c r="D193" s="4"/>
    </row>
    <row r="194" spans="1:4">
      <c r="A194" s="4"/>
      <c r="B194" s="4"/>
      <c r="C194" s="4"/>
      <c r="D194" s="4"/>
    </row>
    <row r="195" spans="1:4">
      <c r="A195" s="4"/>
      <c r="B195" s="4"/>
      <c r="C195" s="4"/>
      <c r="D195" s="4"/>
    </row>
    <row r="196" spans="1:4">
      <c r="A196" s="4"/>
      <c r="B196" s="4"/>
      <c r="C196" s="4"/>
      <c r="D196" s="4"/>
    </row>
    <row r="197" spans="1:4">
      <c r="A197" s="4"/>
      <c r="B197" s="4"/>
      <c r="C197" s="4"/>
      <c r="D197" s="4"/>
    </row>
    <row r="198" spans="1:4">
      <c r="A198" s="4"/>
      <c r="B198" s="4"/>
      <c r="C198" s="4"/>
      <c r="D198" s="4"/>
    </row>
    <row r="199" spans="1:4">
      <c r="A199" s="4"/>
      <c r="B199" s="4"/>
      <c r="C199" s="4"/>
      <c r="D199" s="4"/>
    </row>
    <row r="200" spans="1:4">
      <c r="A200" s="4"/>
      <c r="B200" s="4"/>
      <c r="C200" s="4"/>
      <c r="D200" s="4"/>
    </row>
    <row r="201" spans="1:4">
      <c r="A201" s="4"/>
      <c r="B201" s="4"/>
      <c r="C201" s="4"/>
      <c r="D201" s="4"/>
    </row>
  </sheetData>
  <mergeCells count="1">
    <mergeCell ref="A1:D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>
    <outlinePr summaryBelow="0" summaryRight="0"/>
  </sheetPr>
  <dimension ref="A1:T195"/>
  <sheetViews>
    <sheetView workbookViewId="0">
      <selection activeCell="A22" sqref="A22"/>
    </sheetView>
  </sheetViews>
  <sheetFormatPr defaultColWidth="14" defaultRowHeight="12.75"/>
  <cols>
    <col min="1" max="1" width="41" customWidth="1"/>
    <col min="2" max="4" width="21" customWidth="1"/>
  </cols>
  <sheetData>
    <row r="1" ht="15" customHeight="1" spans="1:20">
      <c r="A1" s="1" t="s">
        <v>219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ht="15" customHeight="1" spans="1:20">
      <c r="A2" s="1" t="s">
        <v>220</v>
      </c>
      <c r="B2" s="1" t="s">
        <v>2</v>
      </c>
      <c r="C2" s="1" t="s">
        <v>3</v>
      </c>
      <c r="D2" s="1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15" customHeight="1" spans="1:20">
      <c r="A3" s="5" t="s">
        <v>221</v>
      </c>
      <c r="B3" s="6"/>
      <c r="C3" s="6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ht="15" customHeight="1" spans="1:20">
      <c r="A4" s="7" t="s">
        <v>222</v>
      </c>
      <c r="B4" s="8" t="e">
        <f>分年度利润预测表!B6</f>
        <v>#REF!</v>
      </c>
      <c r="C4" s="8" t="e">
        <f>分年度利润预测表!C6</f>
        <v>#REF!</v>
      </c>
      <c r="D4" s="8" t="e">
        <f>分年度利润预测表!D6</f>
        <v>#REF!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15" customHeight="1" spans="1:20">
      <c r="A5" s="7" t="s">
        <v>223</v>
      </c>
      <c r="B5" s="8" t="s">
        <v>224</v>
      </c>
      <c r="C5" s="8" t="e">
        <f>IF(B4=0,0,(C4-B4)/B4)</f>
        <v>#REF!</v>
      </c>
      <c r="D5" s="8" t="e">
        <f>IF(C4=0,0,(D4-C4)/C4)</f>
        <v>#REF!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15" customHeight="1" spans="1:20">
      <c r="A6" s="7" t="s">
        <v>225</v>
      </c>
      <c r="B6" s="8" t="e">
        <f>分年度利润预测表!B14</f>
        <v>#REF!</v>
      </c>
      <c r="C6" s="8" t="e">
        <f>分年度利润预测表!C14</f>
        <v>#REF!</v>
      </c>
      <c r="D6" s="8" t="e">
        <f>分年度利润预测表!D14</f>
        <v>#REF!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ht="15" customHeight="1" spans="1:20">
      <c r="A7" s="7" t="s">
        <v>11</v>
      </c>
      <c r="B7" s="8" t="e">
        <f>分年度利润预测表!B15</f>
        <v>#REF!</v>
      </c>
      <c r="C7" s="8" t="e">
        <f>分年度利润预测表!C15</f>
        <v>#REF!</v>
      </c>
      <c r="D7" s="8" t="e">
        <f>分年度利润预测表!D15</f>
        <v>#REF!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ht="15" customHeight="1" spans="1:20">
      <c r="A8" s="7" t="s">
        <v>54</v>
      </c>
      <c r="B8" s="8" t="e">
        <f>分年度利润预测表!B23</f>
        <v>#REF!</v>
      </c>
      <c r="C8" s="8" t="e">
        <f>分年度利润预测表!C23</f>
        <v>#REF!</v>
      </c>
      <c r="D8" s="8" t="e">
        <f>分年度利润预测表!D23</f>
        <v>#REF!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ht="15" customHeight="1" spans="1:20">
      <c r="A9" s="7" t="s">
        <v>12</v>
      </c>
      <c r="B9" s="8" t="e">
        <f>分年度利润预测表!B24</f>
        <v>#REF!</v>
      </c>
      <c r="C9" s="8" t="e">
        <f>分年度利润预测表!C24</f>
        <v>#REF!</v>
      </c>
      <c r="D9" s="8" t="e">
        <f>分年度利润预测表!D24</f>
        <v>#REF!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ht="15" customHeight="1" spans="1:20">
      <c r="A10" s="7" t="s">
        <v>218</v>
      </c>
      <c r="B10" s="8" t="e">
        <f>分年度利润预测表!B25</f>
        <v>#REF!</v>
      </c>
      <c r="C10" s="8" t="e">
        <f>分年度利润预测表!C25</f>
        <v>#REF!</v>
      </c>
      <c r="D10" s="8" t="e">
        <f>分年度利润预测表!D25</f>
        <v>#REF!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ht="15" customHeight="1" spans="1:20">
      <c r="A11" s="7"/>
      <c r="B11" s="9"/>
      <c r="C11" s="9"/>
      <c r="D11" s="9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t="15" customHeight="1" spans="1:20">
      <c r="A12" s="7"/>
      <c r="B12" s="9"/>
      <c r="C12" s="9"/>
      <c r="D12" s="9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ht="15" customHeight="1" spans="1:20">
      <c r="A13" s="5" t="s">
        <v>226</v>
      </c>
      <c r="B13" s="6"/>
      <c r="C13" s="6"/>
      <c r="D13" s="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ht="15" customHeight="1" spans="1:20">
      <c r="A14" s="7" t="s">
        <v>227</v>
      </c>
      <c r="B14" s="10" t="e">
        <f>IF(B4=0,0,年度运营成本测算明细!D9/B4)</f>
        <v>#REF!</v>
      </c>
      <c r="C14" s="10" t="e">
        <f>IF(C4=0,0,年度运营成本测算明细!F9/C4)</f>
        <v>#REF!</v>
      </c>
      <c r="D14" s="10" t="e">
        <f>IF(D4=0,0,年度运营成本测算明细!G9/D4)</f>
        <v>#REF!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ht="15" customHeight="1" spans="1:20">
      <c r="A15" s="7" t="s">
        <v>228</v>
      </c>
      <c r="B15" s="10" t="e">
        <f>IF(B4=0,0,年度运营成本测算明细!D15/B4)</f>
        <v>#REF!</v>
      </c>
      <c r="C15" s="10" t="e">
        <f>IF(C4=0,0,年度运营成本测算明细!F15/C4)</f>
        <v>#REF!</v>
      </c>
      <c r="D15" s="10" t="e">
        <f>IF(D4=0,0,年度运营成本测算明细!G15/D4)</f>
        <v>#REF!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ht="15" customHeight="1" spans="1:20">
      <c r="A16" s="7" t="s">
        <v>229</v>
      </c>
      <c r="B16" s="10" t="e">
        <f>IF(B4=0,0,年度运营成本测算明细!D18/B4)</f>
        <v>#REF!</v>
      </c>
      <c r="C16" s="10" t="e">
        <f>IF(C4=0,0,年度运营成本测算明细!F18/C4)</f>
        <v>#REF!</v>
      </c>
      <c r="D16" s="10" t="e">
        <f>IF(D4=0,0,年度运营成本测算明细!G18/D4)</f>
        <v>#REF!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ht="15" customHeight="1" spans="1:20">
      <c r="A17" s="7" t="s">
        <v>230</v>
      </c>
      <c r="B17" s="10" t="e">
        <f>IF(年度运营成本测算明细!#REF!=0,0,年度运营成本测算明细!#REF!/B4)</f>
        <v>#REF!</v>
      </c>
      <c r="C17" s="10" t="e">
        <f>IF(年度运营成本测算明细!#REF!=0,0,年度运营成本测算明细!#REF!/C4)</f>
        <v>#REF!</v>
      </c>
      <c r="D17" s="10" t="e">
        <f>IF(年度运营成本测算明细!#REF!=0,0,年度运营成本测算明细!#REF!/D4)</f>
        <v>#REF!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>
      <c r="A18" s="4"/>
      <c r="B18" s="4"/>
      <c r="C18" s="4"/>
      <c r="D18" s="4"/>
    </row>
    <row r="19" spans="1:20">
      <c r="A19" s="4"/>
      <c r="B19" s="4"/>
      <c r="C19" s="4"/>
      <c r="D19" s="4"/>
    </row>
    <row r="20" spans="1:20">
      <c r="A20" s="4"/>
      <c r="B20" s="4"/>
      <c r="C20" s="4"/>
      <c r="D20" s="4"/>
    </row>
    <row r="21" spans="1:20">
      <c r="A21" s="4"/>
      <c r="B21" s="4"/>
      <c r="C21" s="4"/>
      <c r="D21" s="4"/>
    </row>
    <row r="22" spans="1:20">
      <c r="A22" s="4"/>
      <c r="B22" s="4"/>
      <c r="C22" s="4"/>
      <c r="D22" s="4"/>
    </row>
    <row r="23" spans="1:20">
      <c r="A23" s="4"/>
      <c r="B23" s="4"/>
      <c r="C23" s="4"/>
      <c r="D23" s="4"/>
    </row>
    <row r="24" spans="1:20">
      <c r="A24" s="4"/>
      <c r="B24" s="4"/>
      <c r="C24" s="4"/>
      <c r="D24" s="4"/>
    </row>
    <row r="25" spans="1:20">
      <c r="A25" s="4"/>
      <c r="B25" s="4"/>
      <c r="C25" s="4"/>
      <c r="D25" s="4"/>
    </row>
    <row r="26" spans="1:20">
      <c r="A26" s="4"/>
      <c r="B26" s="4"/>
      <c r="C26" s="4"/>
      <c r="D26" s="4"/>
    </row>
    <row r="27" spans="1:20">
      <c r="A27" s="4"/>
      <c r="B27" s="4"/>
      <c r="C27" s="4"/>
      <c r="D27" s="4"/>
    </row>
    <row r="28" spans="1:20">
      <c r="A28" s="4"/>
      <c r="B28" s="4"/>
      <c r="C28" s="4"/>
      <c r="D28" s="4"/>
    </row>
    <row r="29" spans="1:20">
      <c r="A29" s="4"/>
      <c r="B29" s="4"/>
      <c r="C29" s="4"/>
      <c r="D29" s="4"/>
    </row>
    <row r="30" spans="1:20">
      <c r="A30" s="4"/>
      <c r="B30" s="4"/>
      <c r="C30" s="4"/>
      <c r="D30" s="4"/>
    </row>
    <row r="31" spans="1:20">
      <c r="A31" s="4"/>
      <c r="B31" s="4"/>
      <c r="C31" s="4"/>
      <c r="D31" s="4"/>
    </row>
    <row r="32" spans="1:20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  <row r="53" spans="1:4">
      <c r="A53" s="4"/>
      <c r="B53" s="4"/>
      <c r="C53" s="4"/>
      <c r="D53" s="4"/>
    </row>
    <row r="54" spans="1:4">
      <c r="A54" s="4"/>
      <c r="B54" s="4"/>
      <c r="C54" s="4"/>
      <c r="D54" s="4"/>
    </row>
    <row r="55" spans="1:4">
      <c r="A55" s="4"/>
      <c r="B55" s="4"/>
      <c r="C55" s="4"/>
      <c r="D55" s="4"/>
    </row>
    <row r="56" spans="1:4">
      <c r="A56" s="4"/>
      <c r="B56" s="4"/>
      <c r="C56" s="4"/>
      <c r="D56" s="4"/>
    </row>
    <row r="57" spans="1:4">
      <c r="A57" s="4"/>
      <c r="B57" s="4"/>
      <c r="C57" s="4"/>
      <c r="D57" s="4"/>
    </row>
    <row r="58" spans="1:4">
      <c r="A58" s="4"/>
      <c r="B58" s="4"/>
      <c r="C58" s="4"/>
      <c r="D58" s="4"/>
    </row>
    <row r="59" spans="1:4">
      <c r="A59" s="4"/>
      <c r="B59" s="4"/>
      <c r="C59" s="4"/>
      <c r="D59" s="4"/>
    </row>
    <row r="60" spans="1:4">
      <c r="A60" s="4"/>
      <c r="B60" s="4"/>
      <c r="C60" s="4"/>
      <c r="D60" s="4"/>
    </row>
    <row r="61" spans="1:4">
      <c r="A61" s="4"/>
      <c r="B61" s="4"/>
      <c r="C61" s="4"/>
      <c r="D61" s="4"/>
    </row>
    <row r="62" spans="1:4">
      <c r="A62" s="4"/>
      <c r="B62" s="4"/>
      <c r="C62" s="4"/>
      <c r="D62" s="4"/>
    </row>
    <row r="63" spans="1:4">
      <c r="A63" s="4"/>
      <c r="B63" s="4"/>
      <c r="C63" s="4"/>
      <c r="D63" s="4"/>
    </row>
    <row r="64" spans="1:4">
      <c r="A64" s="4"/>
      <c r="B64" s="4"/>
      <c r="C64" s="4"/>
      <c r="D64" s="4"/>
    </row>
    <row r="65" spans="1:4">
      <c r="A65" s="4"/>
      <c r="B65" s="4"/>
      <c r="C65" s="4"/>
      <c r="D65" s="4"/>
    </row>
    <row r="66" spans="1:4">
      <c r="A66" s="4"/>
      <c r="B66" s="4"/>
      <c r="C66" s="4"/>
      <c r="D66" s="4"/>
    </row>
    <row r="67" spans="1:4">
      <c r="A67" s="4"/>
      <c r="B67" s="4"/>
      <c r="C67" s="4"/>
      <c r="D67" s="4"/>
    </row>
    <row r="68" spans="1:4">
      <c r="A68" s="4"/>
      <c r="B68" s="4"/>
      <c r="C68" s="4"/>
      <c r="D68" s="4"/>
    </row>
    <row r="69" spans="1:4">
      <c r="A69" s="4"/>
      <c r="B69" s="4"/>
      <c r="C69" s="4"/>
      <c r="D69" s="4"/>
    </row>
    <row r="70" spans="1:4">
      <c r="A70" s="4"/>
      <c r="B70" s="4"/>
      <c r="C70" s="4"/>
      <c r="D70" s="4"/>
    </row>
    <row r="71" spans="1:4">
      <c r="A71" s="4"/>
      <c r="B71" s="4"/>
      <c r="C71" s="4"/>
      <c r="D71" s="4"/>
    </row>
    <row r="72" spans="1:4">
      <c r="A72" s="4"/>
      <c r="B72" s="4"/>
      <c r="C72" s="4"/>
      <c r="D72" s="4"/>
    </row>
    <row r="73" spans="1:4">
      <c r="A73" s="4"/>
      <c r="B73" s="4"/>
      <c r="C73" s="4"/>
      <c r="D73" s="4"/>
    </row>
    <row r="74" spans="1:4">
      <c r="A74" s="4"/>
      <c r="B74" s="4"/>
      <c r="C74" s="4"/>
      <c r="D74" s="4"/>
    </row>
    <row r="75" spans="1:4">
      <c r="A75" s="4"/>
      <c r="B75" s="4"/>
      <c r="C75" s="4"/>
      <c r="D75" s="4"/>
    </row>
    <row r="76" spans="1:4">
      <c r="A76" s="4"/>
      <c r="B76" s="4"/>
      <c r="C76" s="4"/>
      <c r="D76" s="4"/>
    </row>
    <row r="77" spans="1:4">
      <c r="A77" s="4"/>
      <c r="B77" s="4"/>
      <c r="C77" s="4"/>
      <c r="D77" s="4"/>
    </row>
    <row r="78" spans="1:4">
      <c r="A78" s="4"/>
      <c r="B78" s="4"/>
      <c r="C78" s="4"/>
      <c r="D78" s="4"/>
    </row>
    <row r="79" spans="1:4">
      <c r="A79" s="4"/>
      <c r="B79" s="4"/>
      <c r="C79" s="4"/>
      <c r="D79" s="4"/>
    </row>
    <row r="80" spans="1:4">
      <c r="A80" s="4"/>
      <c r="B80" s="4"/>
      <c r="C80" s="4"/>
      <c r="D80" s="4"/>
    </row>
    <row r="81" spans="1:4">
      <c r="A81" s="4"/>
      <c r="B81" s="4"/>
      <c r="C81" s="4"/>
      <c r="D81" s="4"/>
    </row>
    <row r="82" spans="1:4">
      <c r="A82" s="4"/>
      <c r="B82" s="4"/>
      <c r="C82" s="4"/>
      <c r="D82" s="4"/>
    </row>
    <row r="83" spans="1:4">
      <c r="A83" s="4"/>
      <c r="B83" s="4"/>
      <c r="C83" s="4"/>
      <c r="D83" s="4"/>
    </row>
    <row r="84" spans="1:4">
      <c r="A84" s="4"/>
      <c r="B84" s="4"/>
      <c r="C84" s="4"/>
      <c r="D84" s="4"/>
    </row>
    <row r="85" spans="1:4">
      <c r="A85" s="4"/>
      <c r="B85" s="4"/>
      <c r="C85" s="4"/>
      <c r="D85" s="4"/>
    </row>
    <row r="86" spans="1:4">
      <c r="A86" s="4"/>
      <c r="B86" s="4"/>
      <c r="C86" s="4"/>
      <c r="D86" s="4"/>
    </row>
    <row r="87" spans="1:4">
      <c r="A87" s="4"/>
      <c r="B87" s="4"/>
      <c r="C87" s="4"/>
      <c r="D87" s="4"/>
    </row>
    <row r="88" spans="1:4">
      <c r="A88" s="4"/>
      <c r="B88" s="4"/>
      <c r="C88" s="4"/>
      <c r="D88" s="4"/>
    </row>
    <row r="89" spans="1:4">
      <c r="A89" s="4"/>
      <c r="B89" s="4"/>
      <c r="C89" s="4"/>
      <c r="D89" s="4"/>
    </row>
    <row r="90" spans="1:4">
      <c r="A90" s="4"/>
      <c r="B90" s="4"/>
      <c r="C90" s="4"/>
      <c r="D90" s="4"/>
    </row>
    <row r="91" spans="1:4">
      <c r="A91" s="4"/>
      <c r="B91" s="4"/>
      <c r="C91" s="4"/>
      <c r="D91" s="4"/>
    </row>
    <row r="92" spans="1:4">
      <c r="A92" s="4"/>
      <c r="B92" s="4"/>
      <c r="C92" s="4"/>
      <c r="D92" s="4"/>
    </row>
    <row r="93" spans="1:4">
      <c r="A93" s="4"/>
      <c r="B93" s="4"/>
      <c r="C93" s="4"/>
      <c r="D93" s="4"/>
    </row>
    <row r="94" spans="1:4">
      <c r="A94" s="4"/>
      <c r="B94" s="4"/>
      <c r="C94" s="4"/>
      <c r="D94" s="4"/>
    </row>
    <row r="95" spans="1:4">
      <c r="A95" s="4"/>
      <c r="B95" s="4"/>
      <c r="C95" s="4"/>
      <c r="D95" s="4"/>
    </row>
    <row r="96" spans="1:4">
      <c r="A96" s="4"/>
      <c r="B96" s="4"/>
      <c r="C96" s="4"/>
      <c r="D96" s="4"/>
    </row>
    <row r="97" spans="1:4">
      <c r="A97" s="4"/>
      <c r="B97" s="4"/>
      <c r="C97" s="4"/>
      <c r="D97" s="4"/>
    </row>
    <row r="98" spans="1:4">
      <c r="A98" s="4"/>
      <c r="B98" s="4"/>
      <c r="C98" s="4"/>
      <c r="D98" s="4"/>
    </row>
    <row r="99" spans="1:4">
      <c r="A99" s="4"/>
      <c r="B99" s="4"/>
      <c r="C99" s="4"/>
      <c r="D99" s="4"/>
    </row>
    <row r="100" spans="1:4">
      <c r="A100" s="4"/>
      <c r="B100" s="4"/>
      <c r="C100" s="4"/>
      <c r="D100" s="4"/>
    </row>
    <row r="101" spans="1:4">
      <c r="A101" s="4"/>
      <c r="B101" s="4"/>
      <c r="C101" s="4"/>
      <c r="D101" s="4"/>
    </row>
    <row r="102" spans="1:4">
      <c r="A102" s="4"/>
      <c r="B102" s="4"/>
      <c r="C102" s="4"/>
      <c r="D102" s="4"/>
    </row>
    <row r="103" spans="1:4">
      <c r="A103" s="4"/>
      <c r="B103" s="4"/>
      <c r="C103" s="4"/>
      <c r="D103" s="4"/>
    </row>
    <row r="104" spans="1:4">
      <c r="A104" s="4"/>
      <c r="B104" s="4"/>
      <c r="C104" s="4"/>
      <c r="D104" s="4"/>
    </row>
    <row r="105" spans="1:4">
      <c r="A105" s="4"/>
      <c r="B105" s="4"/>
      <c r="C105" s="4"/>
      <c r="D105" s="4"/>
    </row>
    <row r="106" spans="1:4">
      <c r="A106" s="4"/>
      <c r="B106" s="4"/>
      <c r="C106" s="4"/>
      <c r="D106" s="4"/>
    </row>
    <row r="107" spans="1:4">
      <c r="A107" s="4"/>
      <c r="B107" s="4"/>
      <c r="C107" s="4"/>
      <c r="D107" s="4"/>
    </row>
    <row r="108" spans="1:4">
      <c r="A108" s="4"/>
      <c r="B108" s="4"/>
      <c r="C108" s="4"/>
      <c r="D108" s="4"/>
    </row>
    <row r="109" spans="1:4">
      <c r="A109" s="4"/>
      <c r="B109" s="4"/>
      <c r="C109" s="4"/>
      <c r="D109" s="4"/>
    </row>
    <row r="110" spans="1:4">
      <c r="A110" s="4"/>
      <c r="B110" s="4"/>
      <c r="C110" s="4"/>
      <c r="D110" s="4"/>
    </row>
    <row r="111" spans="1:4">
      <c r="A111" s="4"/>
      <c r="B111" s="4"/>
      <c r="C111" s="4"/>
      <c r="D111" s="4"/>
    </row>
    <row r="112" spans="1:4">
      <c r="A112" s="4"/>
      <c r="B112" s="4"/>
      <c r="C112" s="4"/>
      <c r="D112" s="4"/>
    </row>
    <row r="113" spans="1:4">
      <c r="A113" s="4"/>
      <c r="B113" s="4"/>
      <c r="C113" s="4"/>
      <c r="D113" s="4"/>
    </row>
    <row r="114" spans="1:4">
      <c r="A114" s="4"/>
      <c r="B114" s="4"/>
      <c r="C114" s="4"/>
      <c r="D114" s="4"/>
    </row>
    <row r="115" spans="1:4">
      <c r="A115" s="4"/>
      <c r="B115" s="4"/>
      <c r="C115" s="4"/>
      <c r="D115" s="4"/>
    </row>
    <row r="116" spans="1:4">
      <c r="A116" s="4"/>
      <c r="B116" s="4"/>
      <c r="C116" s="4"/>
      <c r="D116" s="4"/>
    </row>
    <row r="117" spans="1:4">
      <c r="A117" s="4"/>
      <c r="B117" s="4"/>
      <c r="C117" s="4"/>
      <c r="D117" s="4"/>
    </row>
    <row r="118" spans="1:4">
      <c r="A118" s="4"/>
      <c r="B118" s="4"/>
      <c r="C118" s="4"/>
      <c r="D118" s="4"/>
    </row>
    <row r="119" spans="1:4">
      <c r="A119" s="4"/>
      <c r="B119" s="4"/>
      <c r="C119" s="4"/>
      <c r="D119" s="4"/>
    </row>
    <row r="120" spans="1:4">
      <c r="A120" s="4"/>
      <c r="B120" s="4"/>
      <c r="C120" s="4"/>
      <c r="D120" s="4"/>
    </row>
    <row r="121" spans="1:4">
      <c r="A121" s="4"/>
      <c r="B121" s="4"/>
      <c r="C121" s="4"/>
      <c r="D121" s="4"/>
    </row>
    <row r="122" spans="1:4">
      <c r="A122" s="4"/>
      <c r="B122" s="4"/>
      <c r="C122" s="4"/>
      <c r="D122" s="4"/>
    </row>
    <row r="123" spans="1:4">
      <c r="A123" s="4"/>
      <c r="B123" s="4"/>
      <c r="C123" s="4"/>
      <c r="D123" s="4"/>
    </row>
    <row r="124" spans="1:4">
      <c r="A124" s="4"/>
      <c r="B124" s="4"/>
      <c r="C124" s="4"/>
      <c r="D124" s="4"/>
    </row>
    <row r="125" spans="1:4">
      <c r="A125" s="4"/>
      <c r="B125" s="4"/>
      <c r="C125" s="4"/>
      <c r="D125" s="4"/>
    </row>
    <row r="126" spans="1:4">
      <c r="A126" s="4"/>
      <c r="B126" s="4"/>
      <c r="C126" s="4"/>
      <c r="D126" s="4"/>
    </row>
    <row r="127" spans="1:4">
      <c r="A127" s="4"/>
      <c r="B127" s="4"/>
      <c r="C127" s="4"/>
      <c r="D127" s="4"/>
    </row>
    <row r="128" spans="1:4">
      <c r="A128" s="4"/>
      <c r="B128" s="4"/>
      <c r="C128" s="4"/>
      <c r="D128" s="4"/>
    </row>
    <row r="129" spans="1:4">
      <c r="A129" s="4"/>
      <c r="B129" s="4"/>
      <c r="C129" s="4"/>
      <c r="D129" s="4"/>
    </row>
    <row r="130" spans="1:4">
      <c r="A130" s="4"/>
      <c r="B130" s="4"/>
      <c r="C130" s="4"/>
      <c r="D130" s="4"/>
    </row>
    <row r="131" spans="1:4">
      <c r="A131" s="4"/>
      <c r="B131" s="4"/>
      <c r="C131" s="4"/>
      <c r="D131" s="4"/>
    </row>
    <row r="132" spans="1:4">
      <c r="A132" s="4"/>
      <c r="B132" s="4"/>
      <c r="C132" s="4"/>
      <c r="D132" s="4"/>
    </row>
    <row r="133" spans="1:4">
      <c r="A133" s="4"/>
      <c r="B133" s="4"/>
      <c r="C133" s="4"/>
      <c r="D133" s="4"/>
    </row>
    <row r="134" spans="1:4">
      <c r="A134" s="4"/>
      <c r="B134" s="4"/>
      <c r="C134" s="4"/>
      <c r="D134" s="4"/>
    </row>
    <row r="135" spans="1:4">
      <c r="A135" s="4"/>
      <c r="B135" s="4"/>
      <c r="C135" s="4"/>
      <c r="D135" s="4"/>
    </row>
    <row r="136" spans="1:4">
      <c r="A136" s="4"/>
      <c r="B136" s="4"/>
      <c r="C136" s="4"/>
      <c r="D136" s="4"/>
    </row>
    <row r="137" spans="1:4">
      <c r="A137" s="4"/>
      <c r="B137" s="4"/>
      <c r="C137" s="4"/>
      <c r="D137" s="4"/>
    </row>
    <row r="138" spans="1:4">
      <c r="A138" s="4"/>
      <c r="B138" s="4"/>
      <c r="C138" s="4"/>
      <c r="D138" s="4"/>
    </row>
    <row r="139" spans="1:4">
      <c r="A139" s="4"/>
      <c r="B139" s="4"/>
      <c r="C139" s="4"/>
      <c r="D139" s="4"/>
    </row>
    <row r="140" spans="1:4">
      <c r="A140" s="4"/>
      <c r="B140" s="4"/>
      <c r="C140" s="4"/>
      <c r="D140" s="4"/>
    </row>
    <row r="141" spans="1:4">
      <c r="A141" s="4"/>
      <c r="B141" s="4"/>
      <c r="C141" s="4"/>
      <c r="D141" s="4"/>
    </row>
    <row r="142" spans="1:4">
      <c r="A142" s="4"/>
      <c r="B142" s="4"/>
      <c r="C142" s="4"/>
      <c r="D142" s="4"/>
    </row>
    <row r="143" spans="1:4">
      <c r="A143" s="4"/>
      <c r="B143" s="4"/>
      <c r="C143" s="4"/>
      <c r="D143" s="4"/>
    </row>
    <row r="144" spans="1:4">
      <c r="A144" s="4"/>
      <c r="B144" s="4"/>
      <c r="C144" s="4"/>
      <c r="D144" s="4"/>
    </row>
    <row r="145" spans="1:4">
      <c r="A145" s="4"/>
      <c r="B145" s="4"/>
      <c r="C145" s="4"/>
      <c r="D145" s="4"/>
    </row>
    <row r="146" spans="1:4">
      <c r="A146" s="4"/>
      <c r="B146" s="4"/>
      <c r="C146" s="4"/>
      <c r="D146" s="4"/>
    </row>
    <row r="147" spans="1:4">
      <c r="A147" s="4"/>
      <c r="B147" s="4"/>
      <c r="C147" s="4"/>
      <c r="D147" s="4"/>
    </row>
    <row r="148" spans="1:4">
      <c r="A148" s="4"/>
      <c r="B148" s="4"/>
      <c r="C148" s="4"/>
      <c r="D148" s="4"/>
    </row>
    <row r="149" spans="1:4">
      <c r="A149" s="4"/>
      <c r="B149" s="4"/>
      <c r="C149" s="4"/>
      <c r="D149" s="4"/>
    </row>
    <row r="150" spans="1:4">
      <c r="A150" s="4"/>
      <c r="B150" s="4"/>
      <c r="C150" s="4"/>
      <c r="D150" s="4"/>
    </row>
    <row r="151" spans="1:4">
      <c r="A151" s="4"/>
      <c r="B151" s="4"/>
      <c r="C151" s="4"/>
      <c r="D151" s="4"/>
    </row>
    <row r="152" spans="1:4">
      <c r="A152" s="4"/>
      <c r="B152" s="4"/>
      <c r="C152" s="4"/>
      <c r="D152" s="4"/>
    </row>
    <row r="153" spans="1:4">
      <c r="A153" s="4"/>
      <c r="B153" s="4"/>
      <c r="C153" s="4"/>
      <c r="D153" s="4"/>
    </row>
    <row r="154" spans="1:4">
      <c r="A154" s="4"/>
      <c r="B154" s="4"/>
      <c r="C154" s="4"/>
      <c r="D154" s="4"/>
    </row>
    <row r="155" spans="1:4">
      <c r="A155" s="4"/>
      <c r="B155" s="4"/>
      <c r="C155" s="4"/>
      <c r="D155" s="4"/>
    </row>
    <row r="156" spans="1:4">
      <c r="A156" s="4"/>
      <c r="B156" s="4"/>
      <c r="C156" s="4"/>
      <c r="D156" s="4"/>
    </row>
    <row r="157" spans="1:4">
      <c r="A157" s="4"/>
      <c r="B157" s="4"/>
      <c r="C157" s="4"/>
      <c r="D157" s="4"/>
    </row>
    <row r="158" spans="1:4">
      <c r="A158" s="4"/>
      <c r="B158" s="4"/>
      <c r="C158" s="4"/>
      <c r="D158" s="4"/>
    </row>
    <row r="159" spans="1:4">
      <c r="A159" s="4"/>
      <c r="B159" s="4"/>
      <c r="C159" s="4"/>
      <c r="D159" s="4"/>
    </row>
    <row r="160" spans="1:4">
      <c r="A160" s="4"/>
      <c r="B160" s="4"/>
      <c r="C160" s="4"/>
      <c r="D160" s="4"/>
    </row>
    <row r="161" spans="1:4">
      <c r="A161" s="4"/>
      <c r="B161" s="4"/>
      <c r="C161" s="4"/>
      <c r="D161" s="4"/>
    </row>
    <row r="162" spans="1:4">
      <c r="A162" s="4"/>
      <c r="B162" s="4"/>
      <c r="C162" s="4"/>
      <c r="D162" s="4"/>
    </row>
    <row r="163" spans="1:4">
      <c r="A163" s="4"/>
      <c r="B163" s="4"/>
      <c r="C163" s="4"/>
      <c r="D163" s="4"/>
    </row>
    <row r="164" spans="1:4">
      <c r="A164" s="4"/>
      <c r="B164" s="4"/>
      <c r="C164" s="4"/>
      <c r="D164" s="4"/>
    </row>
    <row r="165" spans="1:4">
      <c r="A165" s="4"/>
      <c r="B165" s="4"/>
      <c r="C165" s="4"/>
      <c r="D165" s="4"/>
    </row>
    <row r="166" spans="1:4">
      <c r="A166" s="4"/>
      <c r="B166" s="4"/>
      <c r="C166" s="4"/>
      <c r="D166" s="4"/>
    </row>
    <row r="167" spans="1:4">
      <c r="A167" s="4"/>
      <c r="B167" s="4"/>
      <c r="C167" s="4"/>
      <c r="D167" s="4"/>
    </row>
    <row r="168" spans="1:4">
      <c r="A168" s="4"/>
      <c r="B168" s="4"/>
      <c r="C168" s="4"/>
      <c r="D168" s="4"/>
    </row>
    <row r="169" spans="1:4">
      <c r="A169" s="4"/>
      <c r="B169" s="4"/>
      <c r="C169" s="4"/>
      <c r="D169" s="4"/>
    </row>
    <row r="170" spans="1:4">
      <c r="A170" s="4"/>
      <c r="B170" s="4"/>
      <c r="C170" s="4"/>
      <c r="D170" s="4"/>
    </row>
    <row r="171" spans="1:4">
      <c r="A171" s="4"/>
      <c r="B171" s="4"/>
      <c r="C171" s="4"/>
      <c r="D171" s="4"/>
    </row>
    <row r="172" spans="1:4">
      <c r="A172" s="4"/>
      <c r="B172" s="4"/>
      <c r="C172" s="4"/>
      <c r="D172" s="4"/>
    </row>
    <row r="173" spans="1:4">
      <c r="A173" s="4"/>
      <c r="B173" s="4"/>
      <c r="C173" s="4"/>
      <c r="D173" s="4"/>
    </row>
    <row r="174" spans="1:4">
      <c r="A174" s="4"/>
      <c r="B174" s="4"/>
      <c r="C174" s="4"/>
      <c r="D174" s="4"/>
    </row>
    <row r="175" spans="1:4">
      <c r="A175" s="4"/>
      <c r="B175" s="4"/>
      <c r="C175" s="4"/>
      <c r="D175" s="4"/>
    </row>
    <row r="176" spans="1:4">
      <c r="A176" s="4"/>
      <c r="B176" s="4"/>
      <c r="C176" s="4"/>
      <c r="D176" s="4"/>
    </row>
    <row r="177" spans="1:4">
      <c r="A177" s="4"/>
      <c r="B177" s="4"/>
      <c r="C177" s="4"/>
      <c r="D177" s="4"/>
    </row>
    <row r="178" spans="1:4">
      <c r="A178" s="4"/>
      <c r="B178" s="4"/>
      <c r="C178" s="4"/>
      <c r="D178" s="4"/>
    </row>
    <row r="179" spans="1:4">
      <c r="A179" s="4"/>
      <c r="B179" s="4"/>
      <c r="C179" s="4"/>
      <c r="D179" s="4"/>
    </row>
    <row r="180" spans="1:4">
      <c r="A180" s="4"/>
      <c r="B180" s="4"/>
      <c r="C180" s="4"/>
      <c r="D180" s="4"/>
    </row>
    <row r="181" spans="1:4">
      <c r="A181" s="4"/>
      <c r="B181" s="4"/>
      <c r="C181" s="4"/>
      <c r="D181" s="4"/>
    </row>
    <row r="182" spans="1:4">
      <c r="A182" s="4"/>
      <c r="B182" s="4"/>
      <c r="C182" s="4"/>
      <c r="D182" s="4"/>
    </row>
    <row r="183" spans="1:4">
      <c r="A183" s="4"/>
      <c r="B183" s="4"/>
      <c r="C183" s="4"/>
      <c r="D183" s="4"/>
    </row>
    <row r="184" spans="1:4">
      <c r="A184" s="4"/>
      <c r="B184" s="4"/>
      <c r="C184" s="4"/>
      <c r="D184" s="4"/>
    </row>
    <row r="185" spans="1:4">
      <c r="A185" s="4"/>
      <c r="B185" s="4"/>
      <c r="C185" s="4"/>
      <c r="D185" s="4"/>
    </row>
    <row r="186" spans="1:4">
      <c r="A186" s="4"/>
      <c r="B186" s="4"/>
      <c r="C186" s="4"/>
      <c r="D186" s="4"/>
    </row>
    <row r="187" spans="1:4">
      <c r="A187" s="4"/>
      <c r="B187" s="4"/>
      <c r="C187" s="4"/>
      <c r="D187" s="4"/>
    </row>
    <row r="188" spans="1:4">
      <c r="A188" s="4"/>
      <c r="B188" s="4"/>
      <c r="C188" s="4"/>
      <c r="D188" s="4"/>
    </row>
    <row r="189" spans="1:4">
      <c r="A189" s="4"/>
      <c r="B189" s="4"/>
      <c r="C189" s="4"/>
      <c r="D189" s="4"/>
    </row>
    <row r="190" spans="1:4">
      <c r="A190" s="4"/>
      <c r="B190" s="4"/>
      <c r="C190" s="4"/>
      <c r="D190" s="4"/>
    </row>
    <row r="191" spans="1:4">
      <c r="A191" s="4"/>
      <c r="B191" s="4"/>
      <c r="C191" s="4"/>
      <c r="D191" s="4"/>
    </row>
    <row r="192" spans="1:4">
      <c r="A192" s="4"/>
      <c r="B192" s="4"/>
      <c r="C192" s="4"/>
      <c r="D192" s="4"/>
    </row>
    <row r="193" spans="1:4">
      <c r="A193" s="4"/>
      <c r="B193" s="4"/>
      <c r="C193" s="4"/>
      <c r="D193" s="4"/>
    </row>
    <row r="194" spans="1:4">
      <c r="A194" s="4"/>
      <c r="B194" s="4"/>
      <c r="C194" s="4"/>
      <c r="D194" s="4"/>
    </row>
    <row r="195" spans="1:4">
      <c r="A195" s="4"/>
      <c r="B195" s="4"/>
      <c r="C195" s="4"/>
      <c r="D195" s="4"/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项目预算表</vt:lpstr>
      <vt:lpstr>月度资金计划</vt:lpstr>
      <vt:lpstr>年度运营成本测算明细</vt:lpstr>
      <vt:lpstr>第一年</vt:lpstr>
      <vt:lpstr>第二年</vt:lpstr>
      <vt:lpstr>第三年</vt:lpstr>
      <vt:lpstr>分年度利润预测表</vt:lpstr>
      <vt:lpstr>核心财务指标汇总表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刘颖荣</cp:lastModifiedBy>
  <dcterms:created xsi:type="dcterms:W3CDTF">2026-05-11T08:11:00Z</dcterms:created>
  <dcterms:modified xsi:type="dcterms:W3CDTF">2026-05-20T08:19:27Z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D9381EFAE4A34484A509231C4AAE7249_13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