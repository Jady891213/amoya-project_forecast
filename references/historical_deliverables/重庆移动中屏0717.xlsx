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总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<sst xmlns="http://schemas.openxmlformats.org/spreadsheetml/2006/main" count="29" uniqueCount="29">
  <si>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r>
      <t>根据业务及技术提供的测算假设如下：
1、收入结算单价：含税6.5元/月/户（注册用户）
2、爱奇艺APK含税12元/月/户（活跃用户）
3、15路FAST频道流量成本90720元/年；62路直播长途链路60万元/年，本地服务器22万元，频道成本1.2元/月/户（不含税，活跃用户）
4、第一年预计发展5万户，线性增长，不考虑用户流失
5、按照我司中屏开机率50%，爱奇艺APK活跃率48%
6、以下测算均采用活跃用户，不考虑我司集采内容投入，</t>
    </r>
    <r>
      <rPr>
        <b/>
        <u/>
        <sz val="11"/>
        <color theme="1"/>
        <rFont val="微软雅黑"/>
        <charset val="134"/>
      </rPr>
      <t>不含税金额</t>
    </r>
    <r>
      <rPr>
        <sz val="11"/>
        <color theme="1"/>
        <rFont val="微软雅黑"/>
        <charset val="134"/>
      </rPr>
      <t xml:space="preserve">
</t>
    </r>
  </si>
  <si>
    <r>
      <rPr>
        <b/>
        <sz val="11"/>
        <color theme="1"/>
        <rFont val="微软雅黑"/>
        <charset val="134"/>
      </rPr>
      <t xml:space="preserve">主要结论：
项目盈亏的关键在用户规模和控制爱奇艺APK活跃率
</t>
    </r>
    <r>
      <rPr>
        <sz val="11"/>
        <color theme="1"/>
        <rFont val="微软雅黑"/>
        <charset val="134"/>
      </rPr>
      <t>1、当中屏开机率为100%且用户发展达到目标时，爱奇艺APK活跃率为24.7%达到盈亏平衡点
2、当中屏开机率为70%且用户发展达到目标时，爱奇艺APK活跃率为39.8%达到盈亏平衡点
3、当中屏开机率为50%且用户发展达到目标时，爱奇艺APK活跃率为60.0%达到盈亏平衡点</t>
    </r>
    <r>
      <rPr>
        <b/>
        <sz val="11"/>
        <color theme="1"/>
        <rFont val="微软雅黑"/>
        <charset val="134"/>
      </rPr>
      <t xml:space="preserve">
</t>
    </r>
  </si>
  <si>
    <t>提供直播频道+FAST频道</t>
  </si>
  <si>
    <t>明细项目
年（万元）</t>
  </si>
  <si>
    <t>年（万元）</t>
  </si>
  <si>
    <t>单用户（元）</t>
  </si>
  <si>
    <t>收入</t>
  </si>
  <si>
    <t>爱奇艺APK</t>
  </si>
  <si>
    <t>专线</t>
  </si>
  <si>
    <t>服务器</t>
  </si>
  <si>
    <t>频道成本</t>
  </si>
  <si>
    <t>FAST云成本</t>
  </si>
  <si>
    <t>成本</t>
  </si>
  <si>
    <t>毛利</t>
  </si>
  <si>
    <t>毛利率</t>
  </si>
  <si>
    <t>新增用户</t>
  </si>
  <si>
    <t>第1月</t>
  </si>
  <si>
    <t>第2月</t>
  </si>
  <si>
    <t>第3月</t>
  </si>
  <si>
    <t>第4月</t>
  </si>
  <si>
    <t>第5月</t>
  </si>
  <si>
    <t>第6月</t>
  </si>
  <si>
    <t>第7月</t>
  </si>
  <si>
    <t>第8月</t>
  </si>
  <si>
    <t>第9月</t>
  </si>
  <si>
    <t>第10月</t>
  </si>
  <si>
    <t>第11月</t>
  </si>
  <si>
    <t>第12月</t>
  </si>
  <si>
    <t>注册用户（万）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</si>
</sst>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 "/>
    <numFmt numFmtId="177" formatCode="#,##0.0_ ;[Red]\-#,##0.0\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2" applyNumberFormat="0" applyAlignment="0" applyProtection="0">
      <alignment vertical="center"/>
    </xf>
    <xf numFmtId="0" fontId="15" fillId="5" borderId="23" applyNumberFormat="0" applyAlignment="0" applyProtection="0">
      <alignment vertical="center"/>
    </xf>
    <xf numFmtId="0" fontId="16" fillId="5" borderId="22" applyNumberFormat="0" applyAlignment="0" applyProtection="0">
      <alignment vertical="center"/>
    </xf>
    <xf numFmtId="0" fontId="17" fillId="6" borderId="24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3" fontId="1" fillId="0" borderId="0" xfId="0" applyNumberFormat="1" applyFont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176" fontId="2" fillId="2" borderId="9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 indent="2"/>
    </xf>
    <xf numFmtId="0" fontId="1" fillId="0" borderId="9" xfId="0" applyFont="1" applyFill="1" applyBorder="1" applyAlignment="1">
      <alignment horizontal="left" vertical="center" indent="2"/>
    </xf>
    <xf numFmtId="176" fontId="2" fillId="0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9" fontId="2" fillId="2" borderId="11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 wrapText="1"/>
    </xf>
    <xf numFmtId="176" fontId="2" fillId="2" borderId="17" xfId="0" applyNumberFormat="1" applyFont="1" applyFill="1" applyBorder="1" applyAlignment="1">
      <alignment horizontal="center" vertical="center" wrapText="1"/>
    </xf>
    <xf numFmtId="176" fontId="2" fillId="0" borderId="17" xfId="0" applyNumberFormat="1" applyFont="1" applyFill="1" applyBorder="1" applyAlignment="1">
      <alignment horizontal="center" vertical="center" wrapText="1"/>
    </xf>
    <xf numFmtId="9" fontId="2" fillId="2" borderId="18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0"/>
  <sheetViews>
    <sheetView showGridLines="0" tabSelected="1" workbookViewId="0">
      <selection activeCell="S20" sqref="S19:S20"/>
    </sheetView>
  </sheetViews>
  <sheetFormatPr defaultColWidth="9" defaultRowHeight="16.5"/>
  <cols>
    <col min="1" max="1" width="1.375" style="1" customWidth="1"/>
    <col min="2" max="2" width="11.25" style="1" customWidth="1"/>
    <col min="3" max="4" width="6.5" style="1" customWidth="1"/>
    <col min="5" max="8" width="6.5" style="2" customWidth="1"/>
    <col min="9" max="14" width="6.5" style="1" customWidth="1"/>
    <col min="15" max="15" width="3.375" style="3" customWidth="1"/>
    <col min="16" max="16" width="5.75" style="1" customWidth="1"/>
    <col min="17" max="16384" width="9" style="1"/>
  </cols>
  <sheetData>
    <row r="1" ht="5" customHeight="1"/>
    <row r="2" ht="22" customHeight="1" spans="2:14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37"/>
    </row>
    <row r="3" ht="22" customHeight="1" spans="2:14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38"/>
    </row>
    <row r="4" ht="22" customHeight="1" spans="2:14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38"/>
    </row>
    <row r="5" ht="22" customHeight="1" spans="2:14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38"/>
    </row>
    <row r="6" ht="22" customHeight="1" spans="2:14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38"/>
    </row>
    <row r="7" ht="29" customHeight="1" spans="2:14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39"/>
    </row>
    <row r="8" ht="4" customHeight="1" spans="2:8">
      <c r="B8" s="10"/>
      <c r="C8" s="11"/>
      <c r="D8" s="11"/>
      <c r="E8" s="11"/>
      <c r="F8" s="11"/>
      <c r="G8" s="10"/>
      <c r="H8" s="12"/>
    </row>
    <row r="9" ht="28" customHeight="1" spans="2:14">
      <c r="B9" s="13" t="s">
        <v>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40"/>
    </row>
    <row r="10" ht="28" customHeight="1" spans="2:14"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41"/>
    </row>
    <row r="11" ht="28" customHeight="1" spans="2:14"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42"/>
    </row>
    <row r="12" ht="6" customHeight="1" spans="2:4">
      <c r="B12" s="11"/>
      <c r="C12" s="11"/>
      <c r="D12" s="11"/>
    </row>
    <row r="13" spans="2:14">
      <c r="B13" s="19" t="s">
        <v>2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43"/>
    </row>
    <row r="14" spans="2:14">
      <c r="B14" s="21" t="s">
        <v>3</v>
      </c>
      <c r="C14" s="22"/>
      <c r="D14" s="22"/>
      <c r="E14" s="22"/>
      <c r="F14" s="22"/>
      <c r="G14" s="23" t="s">
        <v>4</v>
      </c>
      <c r="H14" s="23"/>
      <c r="I14" s="23"/>
      <c r="J14" s="23"/>
      <c r="K14" s="23" t="s">
        <v>5</v>
      </c>
      <c r="L14" s="23"/>
      <c r="M14" s="23"/>
      <c r="N14" s="44"/>
    </row>
    <row r="15" spans="2:14">
      <c r="B15" s="24" t="s">
        <v>6</v>
      </c>
      <c r="C15" s="25"/>
      <c r="D15" s="25"/>
      <c r="E15" s="25"/>
      <c r="F15" s="25"/>
      <c r="G15" s="26">
        <f>ROUND(6.5*SUM(C26:N26)/1.06,2)</f>
        <v>198.31</v>
      </c>
      <c r="H15" s="26"/>
      <c r="I15" s="26"/>
      <c r="J15" s="26"/>
      <c r="K15" s="26">
        <f>ROUND(6.5/0.5/1.06,2)</f>
        <v>12.26</v>
      </c>
      <c r="L15" s="26"/>
      <c r="M15" s="26"/>
      <c r="N15" s="45"/>
    </row>
    <row r="16" spans="2:14">
      <c r="B16" s="27" t="s">
        <v>7</v>
      </c>
      <c r="C16" s="28"/>
      <c r="D16" s="28"/>
      <c r="E16" s="28"/>
      <c r="F16" s="28"/>
      <c r="G16" s="29">
        <f>ROUND(K16*SUM(C26:N26)*0.5,2)</f>
        <v>87.8</v>
      </c>
      <c r="H16" s="29"/>
      <c r="I16" s="29"/>
      <c r="J16" s="29"/>
      <c r="K16" s="29">
        <f>ROUND(12*0.48/1.06,2)</f>
        <v>5.43</v>
      </c>
      <c r="L16" s="29"/>
      <c r="M16" s="29"/>
      <c r="N16" s="46"/>
    </row>
    <row r="17" spans="2:14">
      <c r="B17" s="27" t="s">
        <v>8</v>
      </c>
      <c r="C17" s="28"/>
      <c r="D17" s="28"/>
      <c r="E17" s="28"/>
      <c r="F17" s="28"/>
      <c r="G17" s="29">
        <f>ROUND(60/1.06,2)</f>
        <v>56.6</v>
      </c>
      <c r="H17" s="29"/>
      <c r="I17" s="29"/>
      <c r="J17" s="29"/>
      <c r="K17" s="29">
        <f t="shared" ref="K17:K20" si="0">ROUND(G17/(SUM($C$26:$N$26)*0.5),2)</f>
        <v>3.5</v>
      </c>
      <c r="L17" s="29"/>
      <c r="M17" s="29"/>
      <c r="N17" s="46"/>
    </row>
    <row r="18" spans="2:14">
      <c r="B18" s="27" t="s">
        <v>9</v>
      </c>
      <c r="C18" s="28"/>
      <c r="D18" s="28"/>
      <c r="E18" s="28"/>
      <c r="F18" s="28"/>
      <c r="G18" s="29">
        <f>ROUND(22/1.13/5,2)</f>
        <v>3.89</v>
      </c>
      <c r="H18" s="29"/>
      <c r="I18" s="29"/>
      <c r="J18" s="29"/>
      <c r="K18" s="29">
        <f t="shared" si="0"/>
        <v>0.24</v>
      </c>
      <c r="L18" s="29"/>
      <c r="M18" s="29"/>
      <c r="N18" s="46"/>
    </row>
    <row r="19" spans="2:14">
      <c r="B19" s="27" t="s">
        <v>10</v>
      </c>
      <c r="C19" s="28"/>
      <c r="D19" s="28"/>
      <c r="E19" s="28"/>
      <c r="F19" s="28"/>
      <c r="G19" s="29">
        <f>ROUND(1.2*SUM(C26:N26)*0.5,2)</f>
        <v>19.4</v>
      </c>
      <c r="H19" s="29"/>
      <c r="I19" s="29"/>
      <c r="J19" s="29"/>
      <c r="K19" s="29">
        <v>1.2</v>
      </c>
      <c r="L19" s="29"/>
      <c r="M19" s="29"/>
      <c r="N19" s="46"/>
    </row>
    <row r="20" spans="2:14">
      <c r="B20" s="27" t="s">
        <v>11</v>
      </c>
      <c r="C20" s="28"/>
      <c r="D20" s="28"/>
      <c r="E20" s="28"/>
      <c r="F20" s="28"/>
      <c r="G20" s="29">
        <f>ROUND(9.072/1.06,2)</f>
        <v>8.56</v>
      </c>
      <c r="H20" s="29"/>
      <c r="I20" s="29"/>
      <c r="J20" s="29"/>
      <c r="K20" s="29">
        <f t="shared" si="0"/>
        <v>0.53</v>
      </c>
      <c r="L20" s="29"/>
      <c r="M20" s="29"/>
      <c r="N20" s="46"/>
    </row>
    <row r="21" spans="2:14">
      <c r="B21" s="24" t="s">
        <v>12</v>
      </c>
      <c r="C21" s="25"/>
      <c r="D21" s="25"/>
      <c r="E21" s="25"/>
      <c r="F21" s="25"/>
      <c r="G21" s="26">
        <f>SUM(G16:J20)</f>
        <v>176.25</v>
      </c>
      <c r="H21" s="26"/>
      <c r="I21" s="26"/>
      <c r="J21" s="26"/>
      <c r="K21" s="26">
        <f>SUM(K16:N20)</f>
        <v>10.9</v>
      </c>
      <c r="L21" s="26"/>
      <c r="M21" s="26"/>
      <c r="N21" s="45"/>
    </row>
    <row r="22" spans="2:14">
      <c r="B22" s="24" t="s">
        <v>13</v>
      </c>
      <c r="C22" s="25"/>
      <c r="D22" s="25"/>
      <c r="E22" s="25"/>
      <c r="F22" s="25"/>
      <c r="G22" s="26">
        <f>G15-G21</f>
        <v>22.06</v>
      </c>
      <c r="H22" s="26"/>
      <c r="I22" s="26"/>
      <c r="J22" s="26"/>
      <c r="K22" s="26">
        <f>K15-K21</f>
        <v>1.36</v>
      </c>
      <c r="L22" s="26"/>
      <c r="M22" s="26"/>
      <c r="N22" s="45"/>
    </row>
    <row r="23" ht="17.25" spans="2:14">
      <c r="B23" s="30" t="s">
        <v>14</v>
      </c>
      <c r="C23" s="31"/>
      <c r="D23" s="31"/>
      <c r="E23" s="31"/>
      <c r="F23" s="31"/>
      <c r="G23" s="32">
        <f>G22/G15</f>
        <v>0.111239977812516</v>
      </c>
      <c r="H23" s="32"/>
      <c r="I23" s="32"/>
      <c r="J23" s="32"/>
      <c r="K23" s="32">
        <f>K22/K15</f>
        <v>0.110929853181077</v>
      </c>
      <c r="L23" s="32"/>
      <c r="M23" s="32"/>
      <c r="N23" s="47"/>
    </row>
    <row r="24" ht="6" customHeight="1" spans="6:8">
      <c r="F24" s="1"/>
      <c r="G24" s="1"/>
      <c r="H24" s="1"/>
    </row>
    <row r="25" spans="2:14">
      <c r="B25" s="33" t="s">
        <v>15</v>
      </c>
      <c r="C25" s="34" t="s">
        <v>16</v>
      </c>
      <c r="D25" s="34" t="s">
        <v>17</v>
      </c>
      <c r="E25" s="34" t="s">
        <v>18</v>
      </c>
      <c r="F25" s="34" t="s">
        <v>19</v>
      </c>
      <c r="G25" s="34" t="s">
        <v>20</v>
      </c>
      <c r="H25" s="34" t="s">
        <v>21</v>
      </c>
      <c r="I25" s="34" t="s">
        <v>22</v>
      </c>
      <c r="J25" s="34" t="s">
        <v>23</v>
      </c>
      <c r="K25" s="34" t="s">
        <v>24</v>
      </c>
      <c r="L25" s="34" t="s">
        <v>25</v>
      </c>
      <c r="M25" s="34" t="s">
        <v>26</v>
      </c>
      <c r="N25" s="34" t="s">
        <v>27</v>
      </c>
    </row>
    <row r="26" spans="2:14">
      <c r="B26" s="33" t="s">
        <v>28</v>
      </c>
      <c r="C26" s="35">
        <v>0.41</v>
      </c>
      <c r="D26" s="35">
        <f>C26+0.41</f>
        <v>0.82</v>
      </c>
      <c r="E26" s="35">
        <f>D26+0.41</f>
        <v>1.23</v>
      </c>
      <c r="F26" s="35">
        <f>E26+0.41</f>
        <v>1.64</v>
      </c>
      <c r="G26" s="35">
        <f t="shared" ref="G26:N26" si="1">F26+0.42</f>
        <v>2.06</v>
      </c>
      <c r="H26" s="35">
        <f t="shared" si="1"/>
        <v>2.48</v>
      </c>
      <c r="I26" s="35">
        <f t="shared" si="1"/>
        <v>2.9</v>
      </c>
      <c r="J26" s="35">
        <f t="shared" si="1"/>
        <v>3.32</v>
      </c>
      <c r="K26" s="35">
        <f t="shared" si="1"/>
        <v>3.74</v>
      </c>
      <c r="L26" s="35">
        <f t="shared" si="1"/>
        <v>4.16</v>
      </c>
      <c r="M26" s="35">
        <f t="shared" si="1"/>
        <v>4.58</v>
      </c>
      <c r="N26" s="35">
        <f t="shared" si="1"/>
        <v>5</v>
      </c>
    </row>
    <row r="28" spans="2:2">
      <c r="B28" s="36"/>
    </row>
    <row r="29" hidden="1" spans="8:13">
      <c r="H29" s="1"/>
      <c r="M29" s="1">
        <f>6.5/1.06/0.5-1.2-SUM(G17:J18,G20)/(SUM(C26:N26)*0.5)</f>
        <v>6.79389738742839</v>
      </c>
    </row>
    <row r="30" hidden="1" spans="13:13">
      <c r="M30" s="1">
        <f>M29/(12/1.06)</f>
        <v>0.600127602556174</v>
      </c>
    </row>
  </sheetData>
  <mergeCells count="33">
    <mergeCell ref="B13:N13"/>
    <mergeCell ref="B14:F14"/>
    <mergeCell ref="G14:J14"/>
    <mergeCell ref="K14:N14"/>
    <mergeCell ref="B15:F15"/>
    <mergeCell ref="G15:J15"/>
    <mergeCell ref="K15:N15"/>
    <mergeCell ref="B16:F16"/>
    <mergeCell ref="G16:J16"/>
    <mergeCell ref="K16:N16"/>
    <mergeCell ref="B17:F17"/>
    <mergeCell ref="G17:J17"/>
    <mergeCell ref="K17:N17"/>
    <mergeCell ref="B18:F18"/>
    <mergeCell ref="G18:J18"/>
    <mergeCell ref="K18:N18"/>
    <mergeCell ref="B19:F19"/>
    <mergeCell ref="G19:J19"/>
    <mergeCell ref="K19:N19"/>
    <mergeCell ref="B20:F20"/>
    <mergeCell ref="G20:J20"/>
    <mergeCell ref="K20:N20"/>
    <mergeCell ref="B21:F21"/>
    <mergeCell ref="G21:J21"/>
    <mergeCell ref="K21:N21"/>
    <mergeCell ref="B22:F22"/>
    <mergeCell ref="G22:J22"/>
    <mergeCell ref="K22:N22"/>
    <mergeCell ref="B23:F23"/>
    <mergeCell ref="G23:J23"/>
    <mergeCell ref="K23:N23"/>
    <mergeCell ref="B2:N7"/>
    <mergeCell ref="B9:N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任婉琳</dc:creator>
  <cp:lastModifiedBy>任婉琳</cp:lastModifiedBy>
  <dcterms:created xsi:type="dcterms:W3CDTF">2023-05-12T11:15:00Z</dcterms:created>
  <dcterms:modified xsi:type="dcterms:W3CDTF">2025-07-17T06:53:53Z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38B13E458DAF472686A2F8E6B4CDC8DE_13</vt:lpwstr>
  </property>
  <property fmtid="{D5CDD505-2E9C-101B-9397-08002B2CF9AE}" pid="4" name="SV_QUERY_LIST_4F35BF76-6C0D-4D9B-82B2-816C12CF3733">
    <vt:lpwstr>empty_477D106A-C0D6-4607-AEBD-E2C9D60EA279</vt:lpwstr>
  </property>
</Properties>
</file>